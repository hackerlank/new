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-120" yWindow="5460" windowWidth="19290" windowHeight="7005"/>
  </bookViews>
  <sheets>
    <sheet name="Sheet1" sheetId="2" r:id="rId1"/>
    <sheet name="说明" sheetId="3" r:id="rId2"/>
  </sheets>
  <calcPr calcId="145621"/>
</workbook>
</file>

<file path=xl/calcChain.xml><?xml version="1.0" encoding="utf-8"?>
<calcChain xmlns="http://schemas.openxmlformats.org/spreadsheetml/2006/main">
  <c r="E4" i="2" l="1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F2" i="2"/>
  <c r="E3" i="2"/>
  <c r="F3" i="2"/>
  <c r="D11" i="2"/>
</calcChain>
</file>

<file path=xl/sharedStrings.xml><?xml version="1.0" encoding="utf-8"?>
<sst xmlns="http://schemas.openxmlformats.org/spreadsheetml/2006/main" count="42" uniqueCount="31">
  <si>
    <t>指挥所</t>
    <phoneticPr fontId="1" type="noConversion"/>
  </si>
  <si>
    <t>类型</t>
    <phoneticPr fontId="1" type="noConversion"/>
  </si>
  <si>
    <t>等级</t>
    <phoneticPr fontId="1" type="noConversion"/>
  </si>
  <si>
    <t>维护费</t>
    <phoneticPr fontId="1" type="noConversion"/>
  </si>
  <si>
    <t>建筑NPC</t>
    <phoneticPr fontId="1" type="noConversion"/>
  </si>
  <si>
    <t>建筑对应NPC ID</t>
    <phoneticPr fontId="1" type="noConversion"/>
  </si>
  <si>
    <t>位置Y</t>
    <phoneticPr fontId="1" type="noConversion"/>
  </si>
  <si>
    <t>升级到下一级所需资金，不需要配0</t>
    <phoneticPr fontId="1" type="noConversion"/>
  </si>
  <si>
    <t>升级到下一级所需繁荣度，不需要配0</t>
    <phoneticPr fontId="1" type="noConversion"/>
  </si>
  <si>
    <t>升级到下一级所需人气度，不需要配0</t>
    <phoneticPr fontId="1" type="noConversion"/>
  </si>
  <si>
    <t>指挥所</t>
    <phoneticPr fontId="1" type="noConversion"/>
  </si>
  <si>
    <t>名称</t>
    <phoneticPr fontId="1" type="noConversion"/>
  </si>
  <si>
    <t>位置X</t>
    <phoneticPr fontId="1" type="noConversion"/>
  </si>
  <si>
    <t>建筑等级，从0级开始</t>
    <phoneticPr fontId="1" type="noConversion"/>
  </si>
  <si>
    <t>对应等级的建筑维护消耗</t>
    <phoneticPr fontId="1" type="noConversion"/>
  </si>
  <si>
    <t>资金</t>
    <phoneticPr fontId="1" type="noConversion"/>
  </si>
  <si>
    <t>繁荣度</t>
    <phoneticPr fontId="1" type="noConversion"/>
  </si>
  <si>
    <t>人气度</t>
    <phoneticPr fontId="1" type="noConversion"/>
  </si>
  <si>
    <t>升级繁荣度</t>
    <phoneticPr fontId="1" type="noConversion"/>
  </si>
  <si>
    <t>升级团资金</t>
    <phoneticPr fontId="1" type="noConversion"/>
  </si>
  <si>
    <t>维护繁荣度</t>
    <phoneticPr fontId="1" type="noConversion"/>
  </si>
  <si>
    <t>营养指数上限</t>
    <phoneticPr fontId="1" type="noConversion"/>
  </si>
  <si>
    <t>人数上限</t>
    <phoneticPr fontId="1" type="noConversion"/>
  </si>
  <si>
    <t>维护团资金</t>
    <phoneticPr fontId="1" type="noConversion"/>
  </si>
  <si>
    <t>繁荣度上限</t>
    <phoneticPr fontId="1" type="noConversion"/>
  </si>
  <si>
    <t>下一级可购买物品</t>
    <phoneticPr fontId="1" type="noConversion"/>
  </si>
  <si>
    <t>资金上限</t>
    <phoneticPr fontId="1" type="noConversion"/>
  </si>
  <si>
    <t>团维护资金</t>
    <phoneticPr fontId="1" type="noConversion"/>
  </si>
  <si>
    <t>奖箱格子</t>
    <phoneticPr fontId="1" type="noConversion"/>
  </si>
  <si>
    <t>团包裹格子</t>
    <phoneticPr fontId="1" type="noConversion"/>
  </si>
  <si>
    <t xml:space="preserve">用来区分建筑类型，从1开始 最大255
//建筑类型
    Building_Command        = 1,    //指挥所
    Building_Service        = 2,    //后勤部
    Building_Science        = 3,    //科技馆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</si>
</sst>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name val="宋体"/>
      <charset val="134"/>
    </font>
    <font>
      <sz val="9"/>
      <name val="宋体"/>
      <charset val="134"/>
    </font>
    <font>
      <b/>
      <sz val="12"/>
      <name val="宋体"/>
      <charset val="134"/>
    </font>
    <font>
      <sz val="10"/>
      <name val="宋体"/>
      <charset val="134"/>
    </font>
    <font>
      <b/>
      <sz val="11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1"/>
  <sheetViews>
    <sheetView tabSelected="1" workbookViewId="0">
      <selection activeCell="L16" sqref="L16"/>
    </sheetView>
  </sheetViews>
  <sheetFormatPr defaultRowHeight="14.25"/>
  <cols>
    <col min="1" max="1" width="4.5" customWidth="1"/>
    <col min="2" max="2" width="4.875" customWidth="1"/>
    <col min="6" max="6" width="8.625" customWidth="1"/>
    <col min="7" max="7" width="7.375" customWidth="1"/>
    <col min="8" max="8" width="5.5" customWidth="1"/>
    <col min="9" max="9" width="6.25" customWidth="1"/>
    <col min="10" max="10" width="7.375" customWidth="1"/>
    <col min="11" max="11" width="10.75" customWidth="1"/>
    <col min="13" max="13" width="7.75" customWidth="1"/>
    <col min="14" max="14" width="8.625" customWidth="1"/>
    <col min="15" max="15" width="9.875" customWidth="1"/>
    <col min="16" max="16" width="10.625" customWidth="1"/>
    <col min="17" max="17" width="9.25" customWidth="1"/>
    <col min="18" max="18" width="15" style="6" bestFit="1" customWidth="1"/>
  </cols>
  <sheetData>
    <row r="1" spans="1:18" s="1" customFormat="1">
      <c r="A1" s="3" t="s">
        <v>1</v>
      </c>
      <c r="B1" s="3" t="s">
        <v>2</v>
      </c>
      <c r="C1" s="3" t="s">
        <v>18</v>
      </c>
      <c r="D1" s="3" t="s">
        <v>19</v>
      </c>
      <c r="E1" s="3" t="s">
        <v>20</v>
      </c>
      <c r="F1" s="3" t="s">
        <v>23</v>
      </c>
      <c r="G1" s="3" t="s">
        <v>4</v>
      </c>
      <c r="H1" s="3" t="s">
        <v>12</v>
      </c>
      <c r="I1" s="3" t="s">
        <v>6</v>
      </c>
      <c r="J1" s="3" t="s">
        <v>11</v>
      </c>
      <c r="K1" s="3" t="s">
        <v>27</v>
      </c>
      <c r="L1" s="3" t="s">
        <v>22</v>
      </c>
      <c r="M1" s="3" t="s">
        <v>28</v>
      </c>
      <c r="N1" s="3" t="s">
        <v>29</v>
      </c>
      <c r="O1" s="3" t="s">
        <v>26</v>
      </c>
      <c r="P1" s="3" t="s">
        <v>21</v>
      </c>
      <c r="Q1" s="3" t="s">
        <v>24</v>
      </c>
      <c r="R1" s="3" t="s">
        <v>25</v>
      </c>
    </row>
    <row r="2" spans="1:18">
      <c r="A2" s="8">
        <v>1</v>
      </c>
      <c r="B2" s="4">
        <v>1</v>
      </c>
      <c r="C2" s="4">
        <v>300</v>
      </c>
      <c r="D2" s="4">
        <v>500</v>
      </c>
      <c r="E2" s="4">
        <v>0</v>
      </c>
      <c r="F2" s="4">
        <f>E2*20</f>
        <v>0</v>
      </c>
      <c r="G2" s="4">
        <v>45001</v>
      </c>
      <c r="H2" s="4">
        <v>128</v>
      </c>
      <c r="I2" s="4">
        <v>127</v>
      </c>
      <c r="J2" s="4" t="s">
        <v>0</v>
      </c>
      <c r="K2" s="4">
        <v>100</v>
      </c>
      <c r="L2" s="4">
        <v>25</v>
      </c>
      <c r="M2" s="4">
        <v>12</v>
      </c>
      <c r="N2" s="4">
        <v>12</v>
      </c>
      <c r="O2" s="4">
        <v>24000</v>
      </c>
      <c r="P2" s="4">
        <v>330</v>
      </c>
      <c r="Q2" s="4">
        <v>400</v>
      </c>
      <c r="R2" s="4"/>
    </row>
    <row r="3" spans="1:18">
      <c r="A3" s="8">
        <v>1</v>
      </c>
      <c r="B3" s="4">
        <v>2</v>
      </c>
      <c r="C3" s="4">
        <v>900</v>
      </c>
      <c r="D3" s="4">
        <v>750</v>
      </c>
      <c r="E3" s="4">
        <f>ROUND(C2*0.08,0)</f>
        <v>24</v>
      </c>
      <c r="F3" s="4">
        <f>E3*20</f>
        <v>480</v>
      </c>
      <c r="G3" s="4">
        <v>45012</v>
      </c>
      <c r="H3" s="4">
        <v>128</v>
      </c>
      <c r="I3" s="4">
        <v>127</v>
      </c>
      <c r="J3" s="4" t="s">
        <v>0</v>
      </c>
      <c r="K3" s="4">
        <v>360</v>
      </c>
      <c r="L3" s="4">
        <v>30</v>
      </c>
      <c r="M3" s="4">
        <v>12</v>
      </c>
      <c r="N3" s="4">
        <v>24</v>
      </c>
      <c r="O3" s="4">
        <v>36000</v>
      </c>
      <c r="P3" s="4">
        <v>390</v>
      </c>
      <c r="Q3" s="4">
        <v>1200</v>
      </c>
      <c r="R3" s="4"/>
    </row>
    <row r="4" spans="1:18">
      <c r="A4" s="8">
        <v>1</v>
      </c>
      <c r="B4" s="4">
        <v>3</v>
      </c>
      <c r="C4" s="4">
        <v>2500</v>
      </c>
      <c r="D4" s="4">
        <v>1000</v>
      </c>
      <c r="E4" s="4">
        <f t="shared" ref="E4:E11" si="0">ROUND(C3*0.08,0)</f>
        <v>72</v>
      </c>
      <c r="F4" s="4">
        <f t="shared" ref="F4:F11" si="1">E4*20</f>
        <v>1440</v>
      </c>
      <c r="G4" s="4">
        <v>45012</v>
      </c>
      <c r="H4" s="4">
        <v>128</v>
      </c>
      <c r="I4" s="4">
        <v>127</v>
      </c>
      <c r="J4" s="4" t="s">
        <v>0</v>
      </c>
      <c r="K4" s="4">
        <v>540</v>
      </c>
      <c r="L4" s="4">
        <v>35</v>
      </c>
      <c r="M4" s="4">
        <v>12</v>
      </c>
      <c r="N4" s="4">
        <v>36</v>
      </c>
      <c r="O4" s="4">
        <v>60000</v>
      </c>
      <c r="P4" s="4">
        <v>460</v>
      </c>
      <c r="Q4" s="4">
        <v>3200</v>
      </c>
      <c r="R4" s="4"/>
    </row>
    <row r="5" spans="1:18">
      <c r="A5" s="8">
        <v>1</v>
      </c>
      <c r="B5" s="4">
        <v>4</v>
      </c>
      <c r="C5" s="4">
        <v>7500</v>
      </c>
      <c r="D5" s="4">
        <v>1500</v>
      </c>
      <c r="E5" s="4">
        <f t="shared" si="0"/>
        <v>200</v>
      </c>
      <c r="F5" s="4">
        <f t="shared" si="1"/>
        <v>4000</v>
      </c>
      <c r="G5" s="4">
        <v>45013</v>
      </c>
      <c r="H5" s="4">
        <v>128</v>
      </c>
      <c r="I5" s="4">
        <v>127</v>
      </c>
      <c r="J5" s="4" t="s">
        <v>0</v>
      </c>
      <c r="K5" s="4">
        <v>900</v>
      </c>
      <c r="L5" s="4">
        <v>40</v>
      </c>
      <c r="M5" s="4">
        <v>12</v>
      </c>
      <c r="N5" s="4">
        <v>48</v>
      </c>
      <c r="O5" s="4">
        <v>90000</v>
      </c>
      <c r="P5" s="4">
        <v>540</v>
      </c>
      <c r="Q5" s="4">
        <v>11000</v>
      </c>
      <c r="R5" s="4"/>
    </row>
    <row r="6" spans="1:18">
      <c r="A6" s="8">
        <v>1</v>
      </c>
      <c r="B6" s="4">
        <v>5</v>
      </c>
      <c r="C6" s="4">
        <v>18000</v>
      </c>
      <c r="D6" s="4">
        <v>2250</v>
      </c>
      <c r="E6" s="4">
        <f t="shared" si="0"/>
        <v>600</v>
      </c>
      <c r="F6" s="4">
        <f t="shared" si="1"/>
        <v>12000</v>
      </c>
      <c r="G6" s="4">
        <v>45013</v>
      </c>
      <c r="H6" s="4">
        <v>128</v>
      </c>
      <c r="I6" s="4">
        <v>127</v>
      </c>
      <c r="J6" s="4" t="s">
        <v>0</v>
      </c>
      <c r="K6" s="4">
        <v>1350</v>
      </c>
      <c r="L6" s="4">
        <v>45</v>
      </c>
      <c r="M6" s="4">
        <v>12</v>
      </c>
      <c r="N6" s="4">
        <v>60</v>
      </c>
      <c r="O6" s="4">
        <v>120000</v>
      </c>
      <c r="P6" s="4">
        <v>670</v>
      </c>
      <c r="Q6" s="4">
        <v>27000</v>
      </c>
      <c r="R6" s="4"/>
    </row>
    <row r="7" spans="1:18">
      <c r="A7" s="8">
        <v>1</v>
      </c>
      <c r="B7" s="4">
        <v>6</v>
      </c>
      <c r="C7" s="4">
        <v>40000</v>
      </c>
      <c r="D7" s="4">
        <v>3250</v>
      </c>
      <c r="E7" s="4">
        <f t="shared" si="0"/>
        <v>1440</v>
      </c>
      <c r="F7" s="4">
        <f t="shared" si="1"/>
        <v>28800</v>
      </c>
      <c r="G7" s="4">
        <v>45014</v>
      </c>
      <c r="H7" s="4">
        <v>128</v>
      </c>
      <c r="I7" s="4">
        <v>127</v>
      </c>
      <c r="J7" s="4" t="s">
        <v>0</v>
      </c>
      <c r="K7" s="4">
        <v>1800</v>
      </c>
      <c r="L7" s="4">
        <v>50</v>
      </c>
      <c r="M7" s="4">
        <v>12</v>
      </c>
      <c r="N7" s="4">
        <v>72</v>
      </c>
      <c r="O7" s="4">
        <v>150000</v>
      </c>
      <c r="P7" s="4">
        <v>810</v>
      </c>
      <c r="Q7" s="4">
        <v>57000</v>
      </c>
      <c r="R7" s="4"/>
    </row>
    <row r="8" spans="1:18">
      <c r="A8" s="8">
        <v>1</v>
      </c>
      <c r="B8" s="4">
        <v>7</v>
      </c>
      <c r="C8" s="4">
        <v>75000</v>
      </c>
      <c r="D8" s="4">
        <v>4500</v>
      </c>
      <c r="E8" s="4">
        <f t="shared" si="0"/>
        <v>3200</v>
      </c>
      <c r="F8" s="4">
        <f t="shared" si="1"/>
        <v>64000</v>
      </c>
      <c r="G8" s="4">
        <v>45014</v>
      </c>
      <c r="H8" s="4">
        <v>128</v>
      </c>
      <c r="I8" s="4">
        <v>127</v>
      </c>
      <c r="J8" s="4" t="s">
        <v>0</v>
      </c>
      <c r="K8" s="4">
        <v>2250</v>
      </c>
      <c r="L8" s="4">
        <v>50</v>
      </c>
      <c r="M8" s="4">
        <v>12</v>
      </c>
      <c r="N8" s="4">
        <v>84</v>
      </c>
      <c r="O8" s="4">
        <v>225000</v>
      </c>
      <c r="P8" s="4">
        <v>960</v>
      </c>
      <c r="Q8" s="4">
        <v>106000</v>
      </c>
      <c r="R8" s="4"/>
    </row>
    <row r="9" spans="1:18">
      <c r="A9" s="8">
        <v>1</v>
      </c>
      <c r="B9" s="4">
        <v>8</v>
      </c>
      <c r="C9" s="4">
        <v>120000</v>
      </c>
      <c r="D9" s="4">
        <v>6000</v>
      </c>
      <c r="E9" s="4">
        <f t="shared" si="0"/>
        <v>6000</v>
      </c>
      <c r="F9" s="4">
        <f t="shared" si="1"/>
        <v>120000</v>
      </c>
      <c r="G9" s="4">
        <v>45015</v>
      </c>
      <c r="H9" s="4">
        <v>128</v>
      </c>
      <c r="I9" s="4">
        <v>127</v>
      </c>
      <c r="J9" s="4" t="s">
        <v>10</v>
      </c>
      <c r="K9" s="4">
        <v>3375</v>
      </c>
      <c r="L9" s="4">
        <v>50</v>
      </c>
      <c r="M9" s="4">
        <v>12</v>
      </c>
      <c r="N9" s="4">
        <v>96</v>
      </c>
      <c r="O9" s="4">
        <v>300000</v>
      </c>
      <c r="P9" s="4">
        <v>1130</v>
      </c>
      <c r="Q9" s="4">
        <v>176000</v>
      </c>
      <c r="R9" s="4"/>
    </row>
    <row r="10" spans="1:18">
      <c r="A10" s="8">
        <v>1</v>
      </c>
      <c r="B10" s="4">
        <v>9</v>
      </c>
      <c r="C10" s="4">
        <v>180000</v>
      </c>
      <c r="D10" s="4">
        <v>7500</v>
      </c>
      <c r="E10" s="4">
        <f t="shared" si="0"/>
        <v>9600</v>
      </c>
      <c r="F10" s="4">
        <f t="shared" si="1"/>
        <v>192000</v>
      </c>
      <c r="G10" s="4">
        <v>45015</v>
      </c>
      <c r="H10" s="4">
        <v>128</v>
      </c>
      <c r="I10" s="4">
        <v>127</v>
      </c>
      <c r="J10" s="4" t="s">
        <v>10</v>
      </c>
      <c r="K10" s="4">
        <v>4500</v>
      </c>
      <c r="L10" s="4">
        <v>50</v>
      </c>
      <c r="M10" s="4">
        <v>12</v>
      </c>
      <c r="N10" s="4">
        <v>108</v>
      </c>
      <c r="O10" s="4">
        <v>390000</v>
      </c>
      <c r="P10" s="4">
        <v>1360</v>
      </c>
      <c r="Q10" s="4">
        <v>270000</v>
      </c>
      <c r="R10" s="4"/>
    </row>
    <row r="11" spans="1:18">
      <c r="A11" s="8">
        <v>1</v>
      </c>
      <c r="B11" s="4">
        <v>10</v>
      </c>
      <c r="C11" s="4">
        <v>0</v>
      </c>
      <c r="D11" s="4">
        <f>C11*20</f>
        <v>0</v>
      </c>
      <c r="E11" s="4">
        <f t="shared" si="0"/>
        <v>14400</v>
      </c>
      <c r="F11" s="4">
        <f t="shared" si="1"/>
        <v>288000</v>
      </c>
      <c r="G11" s="4">
        <v>45016</v>
      </c>
      <c r="H11" s="4">
        <v>128</v>
      </c>
      <c r="I11" s="4">
        <v>127</v>
      </c>
      <c r="J11" s="4" t="s">
        <v>10</v>
      </c>
      <c r="K11" s="4">
        <v>5850</v>
      </c>
      <c r="L11" s="4">
        <v>50</v>
      </c>
      <c r="M11" s="4">
        <v>12</v>
      </c>
      <c r="N11" s="4">
        <v>120</v>
      </c>
      <c r="O11" s="4">
        <v>490000</v>
      </c>
      <c r="P11" s="4">
        <v>1620</v>
      </c>
      <c r="Q11" s="4">
        <v>490000</v>
      </c>
      <c r="R11" s="4"/>
    </row>
  </sheetData>
  <phoneticPr fontId="1" type="noConversion"/>
  <pageMargins left="0.75" right="0.75" top="1" bottom="1" header="0.5" footer="0.5"/>
  <pageSetup paperSize="9" orientation="portrait" r:id="rId1"/>
  <headerFooter alignWithMargins="0"/>
  <ignoredErrors>
    <ignoredError sqref="E3:E1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B6" sqref="B6"/>
    </sheetView>
  </sheetViews>
  <sheetFormatPr defaultRowHeight="14.25"/>
  <cols>
    <col min="2" max="2" width="68.75" customWidth="1"/>
  </cols>
  <sheetData>
    <row r="1" spans="1:2" ht="76.5" customHeight="1">
      <c r="A1" s="7" t="s">
        <v>1</v>
      </c>
      <c r="B1" s="5" t="s">
        <v>30</v>
      </c>
    </row>
    <row r="2" spans="1:2" ht="25.5" customHeight="1">
      <c r="A2" s="7" t="s">
        <v>2</v>
      </c>
      <c r="B2" s="6" t="s">
        <v>13</v>
      </c>
    </row>
    <row r="3" spans="1:2" ht="19.5" customHeight="1">
      <c r="A3" s="7" t="s">
        <v>15</v>
      </c>
      <c r="B3" s="6" t="s">
        <v>7</v>
      </c>
    </row>
    <row r="4" spans="1:2" ht="21" customHeight="1">
      <c r="A4" s="7" t="s">
        <v>16</v>
      </c>
      <c r="B4" s="6" t="s">
        <v>8</v>
      </c>
    </row>
    <row r="5" spans="1:2" ht="21" customHeight="1">
      <c r="A5" s="7" t="s">
        <v>17</v>
      </c>
      <c r="B5" s="6" t="s">
        <v>9</v>
      </c>
    </row>
    <row r="6" spans="1:2">
      <c r="A6" s="7" t="s">
        <v>3</v>
      </c>
      <c r="B6" s="6" t="s">
        <v>14</v>
      </c>
    </row>
    <row r="7" spans="1:2">
      <c r="A7" s="7" t="s">
        <v>4</v>
      </c>
      <c r="B7" s="6" t="s">
        <v>5</v>
      </c>
    </row>
    <row r="8" spans="1:2">
      <c r="A8" s="2"/>
    </row>
    <row r="9" spans="1:2">
      <c r="A9" s="2"/>
    </row>
    <row r="10" spans="1:2">
      <c r="A10" s="2"/>
    </row>
    <row r="11" spans="1:2">
      <c r="A11" s="2"/>
    </row>
    <row r="12" spans="1:2">
      <c r="A12" s="2"/>
    </row>
    <row r="13" spans="1:2">
      <c r="A13" s="2"/>
    </row>
    <row r="14" spans="1:2">
      <c r="A14" s="2"/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说明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dcterms:created xsi:type="dcterms:W3CDTF">2009-06-01T08:27:35Z</dcterms:created>
  <dcterms:modified xsi:type="dcterms:W3CDTF">2016-02-23T08:17:27Z</dcterms:modified>
</cp:coreProperties>
</file>