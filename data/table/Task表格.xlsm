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F:\huaxiashijie\BwtData\table\"/>
    </mc:Choice>
  </mc:AlternateContent>
  <bookViews>
    <workbookView xWindow="0" yWindow="0" windowWidth="27765" windowHeight="13650" tabRatio="497"/>
  </bookViews>
  <sheets>
    <sheet name="Sheet1" sheetId="1" r:id="rId1"/>
    <sheet name="字段说明" sheetId="2" r:id="rId2"/>
    <sheet name="文本格式说明" sheetId="3" r:id="rId3"/>
    <sheet name="经验" sheetId="4" r:id="rId4"/>
    <sheet name="Sheet2" sheetId="5" r:id="rId5"/>
    <sheet name="测试功能" sheetId="6" r:id="rId6"/>
    <sheet name="0917测试第二版" sheetId="7" r:id="rId7"/>
    <sheet name="Sheet3" sheetId="8" r:id="rId8"/>
  </sheets>
  <definedNames>
    <definedName name="MmExcelLinker_FA1F8535_D8F5_4B54_A31A_A496410B3102">#REF!</definedName>
  </definedNames>
  <calcPr calcId="152511"/>
</workbook>
</file>

<file path=xl/calcChain.xml><?xml version="1.0" encoding="utf-8"?>
<calcChain xmlns="http://schemas.openxmlformats.org/spreadsheetml/2006/main">
  <c r="AT35" i="1" l="1"/>
  <c r="AT33" i="1"/>
  <c r="AT32" i="1"/>
  <c r="AT31" i="1"/>
  <c r="AT30" i="1"/>
  <c r="AT28" i="1" l="1"/>
  <c r="AT26" i="1"/>
  <c r="AT25" i="1"/>
  <c r="AT24" i="1" l="1"/>
  <c r="AT21" i="1"/>
  <c r="AT20" i="1"/>
  <c r="AT16" i="1"/>
  <c r="AT18" i="1"/>
  <c r="AT17" i="1"/>
  <c r="AT15" i="1"/>
  <c r="AT11" i="7"/>
  <c r="AT10" i="7"/>
  <c r="AT9" i="7"/>
  <c r="AT8" i="7"/>
  <c r="AT7" i="7"/>
  <c r="AT6" i="7"/>
  <c r="AT5" i="7"/>
  <c r="AT4" i="7"/>
  <c r="AT3" i="7"/>
  <c r="AT2" i="7"/>
  <c r="AT11" i="6"/>
  <c r="AT10" i="6"/>
  <c r="AT9" i="6"/>
  <c r="AT8" i="6"/>
  <c r="AT7" i="6"/>
  <c r="AT6" i="6"/>
  <c r="AT5" i="6"/>
  <c r="AT4" i="6"/>
  <c r="AT3" i="6"/>
  <c r="AT2" i="6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C1" i="5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D22" i="4" s="1"/>
  <c r="D21" i="4"/>
  <c r="C21" i="4"/>
  <c r="D20" i="4"/>
  <c r="D19" i="4"/>
  <c r="D18" i="4"/>
  <c r="D17" i="4"/>
  <c r="C16" i="4"/>
  <c r="D16" i="4" s="1"/>
  <c r="D15" i="4"/>
  <c r="C15" i="4"/>
  <c r="D14" i="4"/>
  <c r="C13" i="4"/>
  <c r="D13" i="4" s="1"/>
  <c r="D12" i="4"/>
  <c r="C11" i="4"/>
  <c r="D11" i="4" s="1"/>
  <c r="D10" i="4"/>
  <c r="C10" i="4"/>
  <c r="C9" i="4"/>
  <c r="D9" i="4" s="1"/>
  <c r="D8" i="4"/>
  <c r="C8" i="4"/>
  <c r="C7" i="4"/>
  <c r="D7" i="4" s="1"/>
  <c r="D6" i="4"/>
  <c r="C5" i="4"/>
  <c r="D5" i="4" s="1"/>
  <c r="C4" i="4"/>
  <c r="D4" i="4" s="1"/>
  <c r="C3" i="4"/>
  <c r="D3" i="4" s="1"/>
  <c r="C2" i="4"/>
  <c r="D2" i="4" s="1"/>
  <c r="AT11" i="1"/>
  <c r="AT10" i="1"/>
  <c r="AT9" i="1"/>
  <c r="AT8" i="1"/>
  <c r="AT7" i="1"/>
  <c r="AT6" i="1"/>
  <c r="AT5" i="1"/>
  <c r="AT4" i="1"/>
  <c r="AT3" i="1"/>
  <c r="AT2" i="1"/>
</calcChain>
</file>

<file path=xl/sharedStrings.xml><?xml version="1.0" encoding="utf-8"?>
<sst xmlns="http://schemas.openxmlformats.org/spreadsheetml/2006/main" count="798" uniqueCount="424">
  <si>
    <t>任务编号</t>
  </si>
  <si>
    <t>策划调试信息</t>
  </si>
  <si>
    <t>名称</t>
  </si>
  <si>
    <t>类型</t>
  </si>
  <si>
    <t>地图</t>
  </si>
  <si>
    <t>最低等级</t>
  </si>
  <si>
    <t>最高等级</t>
  </si>
  <si>
    <t>前置任务</t>
  </si>
  <si>
    <t>每日次数</t>
  </si>
  <si>
    <t>接任务NPC</t>
  </si>
  <si>
    <t>接NPC备注</t>
  </si>
  <si>
    <t>交任务NPC</t>
  </si>
  <si>
    <t>交NPC备注</t>
  </si>
  <si>
    <t>目标地图</t>
  </si>
  <si>
    <t>采集NPC</t>
  </si>
  <si>
    <t>护送npc</t>
  </si>
  <si>
    <t>目标怪物</t>
  </si>
  <si>
    <t>收集道具</t>
  </si>
  <si>
    <t>步骤总数</t>
  </si>
  <si>
    <t>初始步骤数量</t>
  </si>
  <si>
    <t>成长勋章</t>
  </si>
  <si>
    <t>历练勋章</t>
  </si>
  <si>
    <t>战争勋章</t>
  </si>
  <si>
    <t>奖励经验</t>
  </si>
  <si>
    <t>奖励银币</t>
  </si>
  <si>
    <t>奖励赠点</t>
  </si>
  <si>
    <t>奖励硬币</t>
  </si>
  <si>
    <t>奖励道具</t>
  </si>
  <si>
    <t>任务道具</t>
  </si>
  <si>
    <t>任务描述</t>
  </si>
  <si>
    <t>接任务文本</t>
  </si>
  <si>
    <t>交任务文本</t>
  </si>
  <si>
    <t>不可交任务文本</t>
  </si>
  <si>
    <t>任务提示</t>
  </si>
  <si>
    <t>备注</t>
  </si>
  <si>
    <t>军团任务类型</t>
  </si>
  <si>
    <t>任务追踪接取</t>
  </si>
  <si>
    <t>任务追踪完成</t>
  </si>
  <si>
    <t>收集材料</t>
  </si>
  <si>
    <t>是否检索</t>
  </si>
  <si>
    <t>快捷交付</t>
  </si>
  <si>
    <t>瞬间到达接取</t>
  </si>
  <si>
    <t>瞬间直接完成</t>
  </si>
  <si>
    <t>狩猎任务</t>
  </si>
  <si>
    <t>客户端判定任务</t>
  </si>
  <si>
    <t>任务内容</t>
  </si>
  <si>
    <t>系统自动接取</t>
  </si>
  <si>
    <t>苏醒</t>
  </si>
  <si>
    <t>系统自动</t>
  </si>
  <si>
    <t>任务2</t>
  </si>
  <si>
    <t>title(苏醒)
body(hotyellow_3(任务进程:)newline()
   与goto(102,1)交谈。
blankline()hotyellow_3(任务描述:)newline() 
space()space()space()星之国覆灭的一幕幕如同昨日，浑浑噩噩度日终究不是办法，还是去找曾是星之国内政大臣的镇长了解一下现状吧。)</t>
  </si>
  <si>
    <t>npc:body(   space()space()space()player()殿下？您好啊，我是星之国……啊不，星之镇的镇长，感谢奥丁神王，您终于振作起来了。)|player:body(   space()space()space()player()NPC？您好啊，我是星之国……啊不，星之镇的镇长，感谢奥丁神王，您终于振作起来了。)</t>
  </si>
  <si>
    <t>与镇长交谈。</t>
  </si>
  <si>
    <r>
      <rPr>
        <sz val="11"/>
        <color theme="1"/>
        <rFont val="宋体"/>
        <family val="3"/>
        <charset val="134"/>
      </rPr>
      <t>&lt;p&gt;
&lt;n&gt;回复：&lt;/n&gt;
 &lt;n&gt; &lt;/n&gt;&lt;goto quick="1" id="102</t>
    </r>
    <r>
      <rPr>
        <sz val="11"/>
        <color theme="1"/>
        <rFont val="宋体"/>
        <family val="3"/>
        <charset val="134"/>
      </rPr>
      <t>" mapid="1" flagpoint="1" taskid="3001"/&gt;
&lt;/p&gt;</t>
    </r>
  </si>
  <si>
    <t>对话</t>
  </si>
  <si>
    <t>残破武器</t>
  </si>
  <si>
    <t>任务3</t>
  </si>
  <si>
    <t>任务4</t>
  </si>
  <si>
    <r>
      <rPr>
        <sz val="11"/>
        <color theme="1"/>
        <rFont val="宋体"/>
        <family val="3"/>
        <charset val="134"/>
      </rPr>
      <t>title(残破武器)
body(hotyellow_3(任务进程:)newline()
   与goto(</t>
    </r>
    <r>
      <rPr>
        <sz val="11"/>
        <color theme="1"/>
        <rFont val="宋体"/>
        <family val="3"/>
        <charset val="134"/>
      </rPr>
      <t>103</t>
    </r>
    <r>
      <rPr>
        <sz val="11"/>
        <color theme="1"/>
        <rFont val="宋体"/>
        <family val="3"/>
        <charset val="134"/>
      </rPr>
      <t>,1)交谈。
blankline()hotyellow_3(任务描述:)newline() 
space()space()space()偶遇的小女孩似乎有什么伤心事，既然都遇见了不管可不好，帮帮她吧。)</t>
    </r>
  </si>
  <si>
    <t>npc:body(   space()space()space()npc说妈妈生病了，她已经很久没有吃饱了，可是家里没有粮食了，怎么办？呜呜呜……)|player:body(   space()space()space()主角说妈妈生病了，她已经很久没有吃饱了，可是家里没有粮食了，怎么办？呜呜呜……)</t>
  </si>
  <si>
    <t>player:body(   space()space()space()主角说您愿意帮我？您是个好人，这是爸爸留下的武器，我本来想用它换粮食的，唔……就当是报酬吧。)|npc:body(   space()space()space()npc说真的吗？您愿意帮我？您是个好人，这是爸爸留下的武器，我本来想用它换粮食的，唔……就当是报酬吧。)</t>
  </si>
  <si>
    <t>与小女孩交谈。</t>
  </si>
  <si>
    <r>
      <rPr>
        <sz val="11"/>
        <color theme="1"/>
        <rFont val="宋体"/>
        <family val="3"/>
        <charset val="134"/>
      </rPr>
      <t>&lt;p&gt;
&lt;n&gt;找到： &lt;/n&gt;
 &lt;n&gt; &lt;/n&gt;&lt;goto quick="1" id="103" mapid="1" flagpoint="1" taskid="3002</t>
    </r>
    <r>
      <rPr>
        <sz val="11"/>
        <color theme="1"/>
        <rFont val="宋体"/>
        <family val="3"/>
        <charset val="134"/>
      </rPr>
      <t>"/&gt;
&lt;/p&gt;</t>
    </r>
  </si>
  <si>
    <r>
      <rPr>
        <sz val="11"/>
        <color theme="1"/>
        <rFont val="宋体"/>
        <family val="3"/>
        <charset val="134"/>
      </rPr>
      <t>&lt;p&gt;
&lt;n&gt;回复：&lt;/n&gt;
 &lt;n&gt; &lt;/n&gt;&lt;goto quick="1" id="104</t>
    </r>
    <r>
      <rPr>
        <sz val="11"/>
        <color theme="1"/>
        <rFont val="宋体"/>
        <family val="3"/>
        <charset val="134"/>
      </rPr>
      <t>" mapid="1" flagpoint="1" taskid="</t>
    </r>
    <r>
      <rPr>
        <sz val="11"/>
        <color theme="1"/>
        <rFont val="宋体"/>
        <family val="3"/>
        <charset val="134"/>
      </rPr>
      <t>3002</t>
    </r>
    <r>
      <rPr>
        <sz val="11"/>
        <color theme="1"/>
        <rFont val="宋体"/>
        <family val="3"/>
        <charset val="134"/>
      </rPr>
      <t>"/&gt;
&lt;/p&gt;</t>
    </r>
  </si>
  <si>
    <t>苦衷</t>
  </si>
  <si>
    <t>任务5</t>
  </si>
  <si>
    <r>
      <rPr>
        <sz val="11"/>
        <color theme="1"/>
        <rFont val="宋体"/>
        <family val="3"/>
        <charset val="134"/>
      </rPr>
      <t>title(苦衷)
body(hotyellow_3(任务进程:)newline()
   去找goto(</t>
    </r>
    <r>
      <rPr>
        <sz val="11"/>
        <color theme="1"/>
        <rFont val="宋体"/>
        <family val="3"/>
        <charset val="134"/>
      </rPr>
      <t>105</t>
    </r>
    <r>
      <rPr>
        <sz val="11"/>
        <color theme="1"/>
        <rFont val="宋体"/>
        <family val="3"/>
        <charset val="134"/>
      </rPr>
      <t>,1)。
blankline()hotyellow_3(任务描述:)newline() 
space()space()space()星之国覆灭之战的惨烈难以想象，看来真的怪不得镇长，去和他聊聊吧。)</t>
    </r>
  </si>
  <si>
    <t>body(   space()space()space()您是说镇长不愿意反抗帝国吗？哎，星之镇早已不是当年的星之国要塞，那场战争太可怕了。)</t>
  </si>
  <si>
    <t>body(   space()space()space()殿下，想必您已经了解我的苦衷了吧？星之镇已经无力再对抗四大帝国。)</t>
  </si>
  <si>
    <t>您还是去见见镇长吧。</t>
  </si>
  <si>
    <t>与老铁匠交谈。</t>
  </si>
  <si>
    <r>
      <rPr>
        <sz val="11"/>
        <color theme="1"/>
        <rFont val="宋体"/>
        <family val="3"/>
        <charset val="134"/>
      </rPr>
      <t>&lt;p&gt;
&lt;n&gt;找到： &lt;/n&gt;
 &lt;n&gt; &lt;/n&gt;&lt;goto quick="1" id="105</t>
    </r>
    <r>
      <rPr>
        <sz val="11"/>
        <color theme="1"/>
        <rFont val="宋体"/>
        <family val="3"/>
        <charset val="134"/>
      </rPr>
      <t>" mapid="1" flagpoint="1" taskid="</t>
    </r>
    <r>
      <rPr>
        <sz val="11"/>
        <color theme="1"/>
        <rFont val="宋体"/>
        <family val="3"/>
        <charset val="134"/>
      </rPr>
      <t>3003</t>
    </r>
    <r>
      <rPr>
        <sz val="11"/>
        <color theme="1"/>
        <rFont val="宋体"/>
        <family val="3"/>
        <charset val="134"/>
      </rPr>
      <t>"/&gt;
&lt;/p&gt;</t>
    </r>
  </si>
  <si>
    <r>
      <rPr>
        <sz val="11"/>
        <color theme="1"/>
        <rFont val="宋体"/>
        <family val="3"/>
        <charset val="134"/>
      </rPr>
      <t>&lt;p&gt;
&lt;n&gt;回复：&lt;/n&gt;
 &lt;n&gt; &lt;/n&gt;&lt;goto quick="1" id="</t>
    </r>
    <r>
      <rPr>
        <sz val="11"/>
        <color theme="1"/>
        <rFont val="宋体"/>
        <family val="3"/>
        <charset val="134"/>
      </rPr>
      <t>105</t>
    </r>
    <r>
      <rPr>
        <sz val="11"/>
        <color theme="1"/>
        <rFont val="宋体"/>
        <family val="3"/>
        <charset val="134"/>
      </rPr>
      <t>" mapid="1" flagpoint="1" taskid="</t>
    </r>
    <r>
      <rPr>
        <sz val="11"/>
        <color theme="1"/>
        <rFont val="宋体"/>
        <family val="3"/>
        <charset val="134"/>
      </rPr>
      <t>3003</t>
    </r>
    <r>
      <rPr>
        <sz val="11"/>
        <color theme="1"/>
        <rFont val="宋体"/>
        <family val="3"/>
        <charset val="134"/>
      </rPr>
      <t>"/&gt;
&lt;/p&gt;</t>
    </r>
  </si>
  <si>
    <t>采集</t>
  </si>
  <si>
    <t>遗物</t>
  </si>
  <si>
    <t>任务6</t>
  </si>
  <si>
    <r>
      <rPr>
        <sz val="11"/>
        <color theme="1"/>
        <rFont val="宋体"/>
        <family val="3"/>
        <charset val="134"/>
      </rPr>
      <t>title(遗物)
body(hotyellow_3(任务进程:)newline()
   打开goto(107</t>
    </r>
    <r>
      <rPr>
        <sz val="11"/>
        <color theme="1"/>
        <rFont val="宋体"/>
        <family val="3"/>
        <charset val="134"/>
      </rPr>
      <t>,1)并回复goto(</t>
    </r>
    <r>
      <rPr>
        <sz val="11"/>
        <color theme="1"/>
        <rFont val="宋体"/>
        <family val="3"/>
        <charset val="134"/>
      </rPr>
      <t>106</t>
    </r>
    <r>
      <rPr>
        <sz val="11"/>
        <color theme="1"/>
        <rFont val="宋体"/>
        <family val="3"/>
        <charset val="134"/>
      </rPr>
      <t>,1)。
blankline()hotyellow_3(任务描述:)newline() 
space()space()space()看来星之国国王早已预料到了星之国的覆灭，赶紧打开箱子看看到底是什么吧。)</t>
    </r>
  </si>
  <si>
    <t>body(   space()space()space()player()殿下，星之国覆灭之前，国王陛下曾嘱托我把这个箱子交给您。)</t>
  </si>
  <si>
    <t>body(   space()space()space()player()殿下，看来国王陛下对您寄予厚望，星之国的复兴就靠您了。)</t>
  </si>
  <si>
    <t>殿下，箱子就在我身旁。</t>
  </si>
  <si>
    <t>打开箱子。</t>
  </si>
  <si>
    <t>&lt;p&gt;
&lt;n&gt;  打开&lt;/n&gt;
 &lt;n&gt; &lt;/n&gt;&lt;goto quick="1" id="107" mapid="1" flagpoint="1" taskid="3004" /&gt;
&lt;n&gt;取出国王遗物。&lt;/n&gt;
&lt;/p&gt;</t>
  </si>
  <si>
    <t>&lt;p&gt;
&lt;n&gt;回复：&lt;/n&gt;
 &lt;n&gt; &lt;/n&gt;&lt;goto quick="1" id="106" mapid="1" flagpoint="1" taskid="3004"/&gt;
&lt;/p&gt;</t>
  </si>
  <si>
    <t>遗物2</t>
  </si>
  <si>
    <t>任务8</t>
  </si>
  <si>
    <t>任务9</t>
  </si>
  <si>
    <t>title(遗物)
body(hotyellow_3(任务进程:)newline()
   打开goto(107,1)并回复goto(109,1)。
blankline()hotyellow_3(任务描述:)newline() 
space()space()space()看来星之国国王早已预料到了星之国的覆灭，赶紧打开箱子看看到底是什么吧。)</t>
  </si>
  <si>
    <t>&lt;p&gt;
&lt;n&gt;  打开&lt;/n&gt;
 &lt;n&gt; &lt;/n&gt;&lt;goto quick="1" id="107" mapid="1" flagpoint="1" taskid="3005" /&gt;
&lt;n&gt;取出国王遗物。&lt;/n&gt;
&lt;/p&gt;</t>
  </si>
  <si>
    <t>&lt;p&gt;
&lt;n&gt;回复：&lt;/n&gt;
 &lt;n&gt; &lt;/n&gt;&lt;goto quick="1" id="109" mapid="1" flagpoint="1" taskid="3005"/&gt;
&lt;/p&gt;</t>
  </si>
  <si>
    <t>遗物3</t>
  </si>
  <si>
    <t>title(遗物)
body(hotyellow_3(任务进程:)newline()
   打开goto(107,1)并回复goto(108,1)。
blankline()hotyellow_3(任务描述:)newline() 
space()space()space()看来星之国国王早已预料到了星之国的覆灭，赶紧打开箱子看看到底是什么吧。)</t>
  </si>
  <si>
    <t>&lt;p&gt;
&lt;n&gt;  打开&lt;/n&gt;
 &lt;n&gt; &lt;/n&gt;&lt;goto quick="1" id="107" mapid="1" flagpoint="1" taskid="3006" /&gt;
&lt;n&gt;取出国王遗物。&lt;/n&gt;
&lt;/p&gt;</t>
  </si>
  <si>
    <t>&lt;p&gt;
&lt;n&gt;回复：&lt;/n&gt;
 &lt;n&gt; &lt;/n&gt;&lt;goto quick="1" id="108" mapid="1" flagpoint="1" taskid="3006"/&gt;
&lt;/p&gt;</t>
  </si>
  <si>
    <t>杀怪</t>
  </si>
  <si>
    <t>野猪肉</t>
  </si>
  <si>
    <t>任务7</t>
  </si>
  <si>
    <t>title(野猪肉)
body(hotyellow_3(任务进程:)newline()
   击杀goto(1,1)并回复goto(107,1)。
blankline()hotyellow_3(任务描述:)newline() 
space()space()space()看来年迈铁匠的家境同样窘迫，去镇外不远的野猪岛多猎取一些野猪肉回来吧。)</t>
  </si>
  <si>
    <t>body(   space()space()space()嗬，这么多野猪肉真是太好了。天啦，您受伤了！俺真是老糊涂，忘记将这件铠甲交给您了。)</t>
  </si>
  <si>
    <t>&lt;p&gt;
&lt;n&gt;击败&lt;/n&gt;
 &lt;n&gt; &lt;/n&gt;&lt;goto quick="1" id="1" mapid="1" flagpoint="1" taskid="3007" /&gt;
&lt;/p&gt;</t>
  </si>
  <si>
    <t>{s_taskKillNpc, {106,107,1,3}}</t>
  </si>
  <si>
    <t>野猪皮</t>
  </si>
  <si>
    <t>title(野猪皮)
body(hotyellow_3(任务进程:)newline()
   击杀goto(2,1)并回复goto(107,1)。
blankline()hotyellow_3(任务描述:)newline() 
space()space()space()铠甲虽然材质普通却也做工精致，若是能够搭上一条合适的腰带那就更好了，成年钢背野猪的皮是做腰带的好材料。)</t>
  </si>
  <si>
    <t>body(   space()space()space()哈哈，怎么样，老头子的手艺还是不错的吧，只可惜俺这里材料不够，不然就能给您做一条合适的腰带。)</t>
  </si>
  <si>
    <t>body(   space()space()space()够了够了，就是这些，做腰带需要些功夫，还得请您多等些时间。)</t>
  </si>
  <si>
    <t>钢背野猪就在镇外的野猪岛上。</t>
  </si>
  <si>
    <t>&lt;p&gt;
&lt;n&gt;击败&lt;/n&gt;
 &lt;n&gt; &lt;/n&gt;&lt;goto quick="1" id="2" mapid="1" flagpoint="1" taskid="3008" /&gt;
&lt;/p&gt;</t>
  </si>
  <si>
    <t>{s_taskKillNpc, {106,107,2,3}}</t>
  </si>
  <si>
    <t>毛皮</t>
  </si>
  <si>
    <t>title(毛皮)
body(hotyellow_3(任务进程:)newline()
   击杀goto(1,1)并回复goto(107,1)。
blankline()hotyellow_3(任务描述:)newline() 
space()space()space()帝国的征募官自视甚高残暴粗鲁让人很不爽，但是为了成功参军还是先忍忍吧。)</t>
  </si>
  <si>
    <t>body(   space()space()space()就你这样还想参军？啧啧，先证明你的实力，去，将镇外那头巨熊的毛皮带回来给我看看。)</t>
  </si>
  <si>
    <t>body(   space()space()space()小子，运气不错啊。)</t>
  </si>
  <si>
    <t>怎么？难道要我亲自带你去？</t>
  </si>
  <si>
    <t>与征募官交谈。</t>
  </si>
  <si>
    <t>&lt;p&gt;
&lt;n&gt;击败&lt;/n&gt;
 &lt;n&gt; &lt;/n&gt;&lt;goto quick="1" id="1" mapid="1" flagpoint="1" taskid="3009" /&gt;
&lt;/p&gt;</t>
  </si>
  <si>
    <t>&lt;p&gt;
&lt;n&gt;回复：&lt;/n&gt;
 &lt;n&gt; &lt;/n&gt;&lt;goto quick="1" id="107" mapid="1" flagpoint="1" taskid="3009"/&gt;
&lt;/p&gt;</t>
  </si>
  <si>
    <t>{s_taskKillNpc, {106,107,1,1}}</t>
  </si>
  <si>
    <t>道具格式</t>
  </si>
  <si>
    <t>{{id,scene,num,judge,"attr"},{1001,0,1,1,"6-4,7-3"},...}</t>
  </si>
  <si>
    <t>白装格式（1001，0，1，0，“4-1”）judge为1必须分配6-x,7-x否则程序随机生成</t>
  </si>
  <si>
    <t>judge=1表示走鉴定流程，judge=2表示走鉴定流程（附加属性不产生为阉割装）</t>
  </si>
  <si>
    <t>白装不走鉴定流程，需要加4-1。除白装外其他装备需要走鉴定流程。</t>
  </si>
  <si>
    <t>任务类型</t>
  </si>
  <si>
    <t xml:space="preserve">1    主线+支线                  1000-9999 主线       10000-20000支线
2     日常任务                30000以上
3     军团任务                 20000-30000
4     挑战任务            10000-20000
5     成就任务            40000-50000
6     节日活动            50001-60000
7    是否检索                1检索，0不检索，2挑战任务，检索，3隐藏挑战任务，不检索
</t>
  </si>
  <si>
    <t>任务地图</t>
  </si>
  <si>
    <t>0-在多个地图可接；1-太空堡垒；2-迷雾废墟；3-光明城；4-燃烧平原；6-隐匿者丛林；7-遗忘沙漠</t>
  </si>
  <si>
    <t>任务类型1</t>
  </si>
  <si>
    <t>1.主线
2.支线
3.日常
4.军团（除科技任务）
5.发布类任务
6.军团科技任务</t>
  </si>
  <si>
    <t>任务类型2</t>
  </si>
  <si>
    <t>任务类型决定NPC头顶叹号的显示</t>
  </si>
  <si>
    <t>任务类型3</t>
  </si>
  <si>
    <t>1表示直接到达接任务NPC；0表示不能</t>
  </si>
  <si>
    <t>1表示接任务后可以直接完成；0表示不能</t>
  </si>
  <si>
    <t>0表示由服务器判定；1表示客户端判定</t>
  </si>
  <si>
    <t>title()标题，会彩色字体稍大</t>
  </si>
  <si>
    <t>body()内容主体，除了title()其他标签都应包含在其中，内容为普通白色</t>
  </si>
  <si>
    <t>goto(npcid,mapid) 超链接显示，须在body()内嵌套</t>
  </si>
  <si>
    <t>player() 玩家姓名</t>
  </si>
  <si>
    <t>hot(xxx) 对内容xxx颜色高亮显示(绿色),须在body()内嵌套</t>
  </si>
  <si>
    <t>hot2(xxx) 对内容xxx颜色高亮显示(黄色) 须在body()内嵌套</t>
  </si>
  <si>
    <t>newline() 换行 须在body()内嵌套</t>
  </si>
  <si>
    <t>var(taskid,varid) 显示任务变量数字，须在body()内嵌套</t>
  </si>
  <si>
    <t>pos(x,y,mapid) 指定坐标显示,须在body()内</t>
  </si>
  <si>
    <t>hot3(xxx) 对内容xxx颜色高亮显示(蓝色) 须在body()内嵌套</t>
  </si>
  <si>
    <t>hot4(xxx) 对内容xxx颜色高亮显示(红色) 须在body()内嵌套</t>
  </si>
  <si>
    <t>blankline() 加一个空行 须在body()内嵌套</t>
  </si>
  <si>
    <t>&lt;dialog text="点击打开包裹" hotkeyid="2" /&gt;</t>
  </si>
  <si>
    <t>打开游戏内界面</t>
  </si>
  <si>
    <t>人物等级</t>
  </si>
  <si>
    <t>升级经验</t>
  </si>
  <si>
    <t>剧情任务数</t>
  </si>
  <si>
    <t>任务经验</t>
  </si>
  <si>
    <t>[1级]星之城</t>
  </si>
  <si>
    <t>炽天使</t>
  </si>
  <si>
    <t>title(（1级）星之城)
body(hotyellow_3(任务进程:)newline()
   去找goto(60045,1)。
blankline()hotyellow_3(任务描述:)newline() 
space()space()space()player()，很高兴你能来到这里。首先，还是找到星之城的炽天使熟悉一下情况吧！)</t>
  </si>
  <si>
    <t>body(  space()space()space()player()，很高兴你能来到这里。首先，还是找到星之城的炽天使熟悉一下情况吧！#p微笑)</t>
  </si>
  <si>
    <t>body(   space()space()space()player()，欢迎来到星之城。#p微笑)</t>
  </si>
  <si>
    <t>&lt;p&gt;&lt;goto id="60045" flagpoint="1" mapid="1"/&gt;&lt;n&gt;正在等你，“L”键查看&lt;/n&gt;&lt;dialog text="任务详细" hotkeyid="3" /&gt;&lt;/p&gt;</t>
  </si>
  <si>
    <t>&lt;p&gt;
&lt;n&gt;  回复： &lt;/n&gt;
 &lt;n&gt; &lt;/n&gt;&lt;goto quick="1" id="60045" mapid="1" flagpoint="1" taskid="3001"/&gt;
&lt;/p&gt;</t>
  </si>
  <si>
    <t>&lt;p&gt;
&lt;n&gt;  回复：&lt;/n&gt;
 &lt;n&gt; &lt;/n&gt;&lt;goto quick="1" id="60045" mapid="1" flagpoint="1" taskid="3001"/&gt;
&lt;/p&gt;</t>
  </si>
  <si>
    <t>[2级]王者之剑</t>
  </si>
  <si>
    <t>光明女神</t>
  </si>
  <si>
    <t>title( （2级）王者之剑)
body(hotyellow_3(任务进程:)newline()
   去拔出goto(60141,1)后，回复goto(60046,1)
blankline()hotyellow_3(任务描述:)newline() 
  星之城的hot(王者之剑)是力量与权力的象征。只有真正的王者才能把它拔出。你去试试吧。)</t>
  </si>
  <si>
    <t>body(   星之城的hot(王者之剑)是力量与权力的象征。只有真正的王者才能把它拔出。你去试试吧。#p右哼哼)</t>
  </si>
  <si>
    <t>body(   太不可思议了！你居然拔出了王者之剑！#p吓)</t>
  </si>
  <si>
    <t>果然拔不出来没？</t>
  </si>
  <si>
    <t>&lt;p&gt;&lt;n&gt;拔出&lt;/n&gt;&lt;goto id="60141" flagpoint="1" mapid="1"/&gt;&lt;/p&gt;</t>
  </si>
  <si>
    <t>&lt;p&gt;
&lt;n&gt;  拔出 &lt;/n&gt;
 &lt;n&gt; &lt;/n&gt;&lt;goto quick="1" id="60141" mapid="1" flagpoint="1" taskid="3021"/&gt;
&lt;/p&gt;</t>
  </si>
  <si>
    <t>&lt;p&gt;
&lt;n&gt;  回复：&lt;/n&gt;
 &lt;n&gt; &lt;/n&gt;&lt;goto quick="1" id="60046" mapid="1" flagpoint="1" taskid="3021"/&gt;&lt;/p&gt;</t>
  </si>
  <si>
    <t>[21级]镇长的推荐信</t>
  </si>
  <si>
    <t>镇长</t>
  </si>
  <si>
    <t>卡尔</t>
  </si>
  <si>
    <t>{{29066,0,1,0,"1-1,7-1"}}</t>
  </si>
  <si>
    <t>{{31065,3,1,0,"1-1"}}</t>
  </si>
  <si>
    <t>title(（21级）镇长的推荐信)
body(hotyellow_3(任务进程:)newline()
   将镇长的hot(推荐信)交给光明城的goto(60000,3)。
blankline()hotyellow_3(任务描述:)newline() 
   hot3(光明骑士团是隶属于光明教会的武装力量！光明骑士团的存在，就是为了消灭黑暗，带领人类走向光明！))</t>
  </si>
  <si>
    <t>body(   年轻人，你所表现的战斗力，远超我对年轻战士的认知。请你务必带上我这封信，去光明城找我们的头，光明骑士团团长hot(卡尔)。)</t>
  </si>
  <si>
    <t>body(   你就是艾伦信中提到的勇士？哈哈，很高兴见到你！blankline()   这里有一份hot(军团契约)，拿好了。当你拥有5份这样的契约时，就可以在hot(团联络官)那里组建自己的团了。blankline()   当然，不使用契约，而是消费hot(100枚银币)也可以达到同样的目的。)</t>
  </si>
  <si>
    <t>光明骑士团团长就在光明城里。你进入光明城走到底就能看到他了。或者打开地图，使用NPC寻路功能也能轻松找到他哦！</t>
  </si>
  <si>
    <t>&lt;p&gt;
&lt;n&gt;  将推荐信交给&lt;/n&gt;
 &lt;n&gt; &lt;/n&gt;&lt;goto quick="1" id="60000" mapid="3" flagpoint="1" taskid="3801" /&gt;
&lt;/p&gt;</t>
  </si>
  <si>
    <t>&lt;p&gt;
&lt;n&gt;  将信交给：&lt;/n&gt;
 &lt;n&gt; &lt;/n&gt;&lt;goto quick="1" id="60000" mapid="3" flagpoint="1" taskid="3801"/&gt;&lt;/p&gt;</t>
  </si>
  <si>
    <t>[26级]舞蹈的力量</t>
  </si>
  <si>
    <t>团联络官</t>
  </si>
  <si>
    <t>尼诺</t>
  </si>
  <si>
    <t>title(（26级）舞蹈的力量)
body(hotyellow_3(任务进程:)newline()
   去pos(376,355,3)的舞池舞蹈一分钟。
blankline()   完成后找到goto(123,3)
blankline()hotyellow_3(任务描述:)newline()   跳舞需在“技能”栏中的“生存技能”学习”跳舞”技能，并只有在指定的区域才能跳舞。并可以通过下属方法提升跳舞的经验。newline()   hot2(1.国王发布舞会时跳舞，可获得额外的经验加成。)newline()   hot2(2.跳舞时使用舞票，品质越高，获得的经验加成越高。舞票可通过打怪或者拍卖行购买获得。)newline()   hot2(3.跳舞时，同时进行跳舞的玩家越多，获得的经验加成越高。)newline()   hot2(以上3点效果可叠加。))</t>
  </si>
  <si>
    <r>
      <rPr>
        <sz val="11"/>
        <color theme="1"/>
        <rFont val="宋体"/>
        <family val="3"/>
        <charset val="134"/>
      </rPr>
      <t>body(   跳舞可以舒展肌肉，锻炼人体的协调能力。长期跳舞能够提高你在战斗过程中的预判能力，达到实力上的提升。尝试跳舞，并将跳舞的心得和体会告知位于燃烧平原的火焰少校比尔。</t>
    </r>
    <r>
      <rPr>
        <sz val="11"/>
        <color theme="1"/>
        <rFont val="宋体"/>
        <family val="3"/>
        <charset val="134"/>
      </rPr>
      <t xml:space="preserve">newline()   </t>
    </r>
    <r>
      <rPr>
        <sz val="11"/>
        <color theme="1"/>
        <rFont val="宋体"/>
        <family val="3"/>
        <charset val="134"/>
      </rPr>
      <t>跳舞需在“技能”栏中的“生存技能”学习”跳舞”技能，并只有在指定的区域才能跳舞。并可以通过下属方法提升跳舞的经验。</t>
    </r>
    <r>
      <rPr>
        <sz val="11"/>
        <color theme="1"/>
        <rFont val="宋体"/>
        <family val="3"/>
        <charset val="134"/>
      </rPr>
      <t>newline()   hot2(1.</t>
    </r>
    <r>
      <rPr>
        <sz val="11"/>
        <color theme="1"/>
        <rFont val="宋体"/>
        <family val="3"/>
        <charset val="134"/>
      </rPr>
      <t>国王发布舞会时跳舞，可获得额外的经验加成。</t>
    </r>
    <r>
      <rPr>
        <sz val="11"/>
        <color theme="1"/>
        <rFont val="宋体"/>
        <family val="3"/>
        <charset val="134"/>
      </rPr>
      <t>)newline()   hot2(2.</t>
    </r>
    <r>
      <rPr>
        <sz val="11"/>
        <color theme="1"/>
        <rFont val="宋体"/>
        <family val="3"/>
        <charset val="134"/>
      </rPr>
      <t>跳舞时使用舞票，品质越高，获得的经验加成越高。舞票可通过打怪或者拍卖行购买获得。</t>
    </r>
    <r>
      <rPr>
        <sz val="11"/>
        <color theme="1"/>
        <rFont val="宋体"/>
        <family val="3"/>
        <charset val="134"/>
      </rPr>
      <t>)newline()   hot2(3.</t>
    </r>
    <r>
      <rPr>
        <sz val="11"/>
        <color theme="1"/>
        <rFont val="宋体"/>
        <family val="3"/>
        <charset val="134"/>
      </rPr>
      <t>跳舞时，同时进行跳舞的玩家越多，获得的经验加成越高。</t>
    </r>
    <r>
      <rPr>
        <sz val="11"/>
        <color theme="1"/>
        <rFont val="宋体"/>
        <family val="3"/>
        <charset val="134"/>
      </rPr>
      <t>)newline()   hot2(</t>
    </r>
    <r>
      <rPr>
        <sz val="11"/>
        <color theme="1"/>
        <rFont val="宋体"/>
        <family val="3"/>
        <charset val="134"/>
      </rPr>
      <t>以上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点效果可叠加。</t>
    </r>
    <r>
      <rPr>
        <sz val="11"/>
        <color theme="1"/>
        <rFont val="宋体"/>
        <family val="3"/>
        <charset val="134"/>
      </rPr>
      <t>)</t>
    </r>
    <r>
      <rPr>
        <sz val="11"/>
        <color theme="1"/>
        <rFont val="宋体"/>
        <family val="3"/>
        <charset val="134"/>
      </rPr>
      <t>)</t>
    </r>
  </si>
  <si>
    <t>body(   你好，player()，想去哪里？我都可以负责传送。)</t>
  </si>
  <si>
    <t>在光明城舞池舞蹈1分钟，完成后去燃烧平原与比尔对话</t>
  </si>
  <si>
    <r>
      <rPr>
        <sz val="11"/>
        <color theme="1"/>
        <rFont val="宋体"/>
        <family val="3"/>
        <charset val="134"/>
      </rPr>
      <t>&lt;p&gt;
&lt;n&gt;  到达&lt;/n&gt;
 &lt;goto pos="3</t>
    </r>
    <r>
      <rPr>
        <sz val="11"/>
        <color theme="1"/>
        <rFont val="宋体"/>
        <family val="3"/>
        <charset val="134"/>
      </rPr>
      <t>81</t>
    </r>
    <r>
      <rPr>
        <sz val="11"/>
        <color theme="1"/>
        <rFont val="宋体"/>
        <family val="3"/>
        <charset val="134"/>
      </rPr>
      <t>,3</t>
    </r>
    <r>
      <rPr>
        <sz val="11"/>
        <color theme="1"/>
        <rFont val="宋体"/>
        <family val="3"/>
        <charset val="134"/>
      </rPr>
      <t>78</t>
    </r>
    <r>
      <rPr>
        <sz val="11"/>
        <color theme="1"/>
        <rFont val="宋体"/>
        <family val="3"/>
        <charset val="134"/>
      </rPr>
      <t>" mapid="3"  flagpoint="1" /&gt;
&lt;n&gt;的舞池&lt;/n&gt;
&lt;newline/&gt;
&lt;n&gt;  &lt;/n&gt;&lt;dialog taskid="4011" text="使用跳舞技能" hotkeyid="5" tabid="2-1"/&gt;&lt;n&gt;舞蹈一分钟&lt;/n&gt;
&lt;newline/&gt;
&lt;n&gt;  使用舞票可得高额经验&lt;/n&gt;
&lt;/p&gt;</t>
    </r>
  </si>
  <si>
    <t>&lt;p&gt;
&lt;n&gt;  回复：&lt;/n&gt;
 &lt;n&gt; &lt;/n&gt;&lt;goto quick="1" id="123" mapid="3" flagpoint="1" taskid="4011"/&gt;&lt;/p&gt;</t>
  </si>
  <si>
    <t>[14级]溃烂的伤口</t>
  </si>
  <si>
    <t>鲍文</t>
  </si>
  <si>
    <t>title(（14级）溃烂的伤口)
body(hotyellow_3(任务进程:)newline()
   获取10只goto(10132,2)交给goto(60035,2)。
blankline()hotyellow_3(任务描述:)newline() 
   哎，如果继续这样下去，盖亚孙子生还的机会非常小。blankline()   曾经有一些民族使用过蝎子来治疗类似病症，事到如今，我们还是尝试一下吧！)</t>
  </si>
  <si>
    <t>body(   这样下去，盖亚孙子生还的机会非常小。blankline()   曾经有一些民族使用过蝎子来治疗类似病症，事到如今，我们还是尝试一下吧！)</t>
  </si>
  <si>
    <t>body(   希望可以起到一定的效果……)</t>
  </si>
  <si>
    <t>古老民族的智慧，希望能够拯救这个可怜的孩子</t>
  </si>
  <si>
    <t>&lt;p&gt;&lt;n&gt;杀&lt;/n&gt;&lt;goto id="10132" mapid="2" flagpoint="1"/&gt;&lt;n&gt;获得10只变异毒蝎。&lt;/n&gt;&lt;/p&gt;</t>
  </si>
  <si>
    <t>&lt;p&gt;
&lt;n&gt;  获得10只&lt;/n&gt;
 &lt;n&gt; &lt;/n&gt;&lt;goto quick="1" id="10132" mapid="2" flagpoint="1" taskid="3351" /&gt;
&lt;/p&gt;</t>
  </si>
  <si>
    <t xml:space="preserve"> &lt;p&gt;
&lt;n&gt;  回复：&lt;/n&gt;
 &lt;n&gt; &lt;/n&gt;&lt;goto quick="1" id="60035" mapid="2" flagpoint="1" taskid="3351"/&gt;&lt;/p&gt;</t>
  </si>
  <si>
    <t>"31171-0-10"</t>
  </si>
  <si>
    <t>[6级]吃货</t>
  </si>
  <si>
    <t>赤灵狐</t>
  </si>
  <si>
    <t>title( [6级]吃货)
body(hotyellow_3(任务进程:)newline()
   击败4个goto(10103,1)后，回复goto(60031,1)。
blankline()hotyellow_3(任务描述:)newline() 
我好饿啊，给我去搞点吃的吧。看在我这么可爱的份上。)</t>
  </si>
  <si>
    <t>body(我好饿啊，给我去搞点吃的吧。看在我这么可爱的份上。#p矮油)</t>
  </si>
  <si>
    <t>body(   味道真不错！#p色)</t>
  </si>
  <si>
    <t>"我要吃肉！"</t>
  </si>
  <si>
    <t>&lt;p&gt;&lt;goto id="10103" flagpoint="1" mapid="1"/&gt;&lt;n&gt;需要你前往。“L”键查看&lt;/n&gt;&lt;dialog text="任务详细" hotkeyid="3" /&gt;&lt;/p&gt;</t>
  </si>
  <si>
    <t>&lt;p&gt;
&lt;n&gt;  击败：&lt;/n&gt;
 &lt;n&gt; &lt;/n&gt;&lt;goto quick="1" id="10103" mapid="1" flagpoint="1" taskid="3074" /&gt;
&lt;/p&gt;</t>
  </si>
  <si>
    <t>&lt;p&gt;
&lt;n&gt;  回复：&lt;/n&gt;
 &lt;n&gt; &lt;/n&gt;&lt;goto quick="1" id="60007" mapid="1" flagpoint="1" taskid="3074"/&gt;&lt;/p&gt;</t>
  </si>
  <si>
    <t>[1级]光明女神</t>
  </si>
  <si>
    <t>title(（1级）光明女神)
body(hotyellow_3(任务进程:)newline()
   去找goto(60046,1)。
blankline()hotyellow_3(任务描述:)newline() 
 每个来到星之城的人，必须去拜访光明女神。 )</t>
  </si>
  <si>
    <t>body(   我是炽天使。你所在的地方是星之城。blankline()   blankline()space()space()space()player()每个来到星之城的人，必须去拜访hot(光明女神)！)</t>
  </si>
  <si>
    <t>body(   又是一个闯入者吗？#p右哼哼)</t>
  </si>
  <si>
    <t>&lt;p&gt;&lt;goto id="60046" flagpoint="1" mapid="1"/&gt;&lt;n&gt;正在等你，“L”键查看&lt;/n&gt;&lt;dialog text="任务详细" hotkeyid="3" /&gt;&lt;/p&gt;</t>
  </si>
  <si>
    <t>&lt;p&gt;
&lt;n&gt;  回复： &lt;/n&gt;
 &lt;n&gt; &lt;/n&gt;&lt;goto quick="1" id="60046" mapid="1" flagpoint="1" taskid="3011"/&gt;
&lt;/p&gt;</t>
  </si>
  <si>
    <t>&lt;p&gt;
&lt;n&gt;  回复：&lt;/n&gt;
 &lt;n&gt; &lt;/n&gt;&lt;goto quick="1" id="60046" mapid="1" flagpoint="1" taskid="3011"/&gt;&lt;/p&gt;</t>
  </si>
  <si>
    <t>[2级]圣骑士</t>
  </si>
  <si>
    <t>圣骑士</t>
  </si>
  <si>
    <t>title( （2级）圣骑士)
body(hotyellow_3(任务进程:)newline()
   与goto(60005,1)交谈。
   blankline()hotyellow_3(任务描述:)newline() 
   圣骑士是格斗高手，可以向他询问如何使用武器。
   blankline()
   点击屏幕右侧hot(任务追踪的名字)或按hot(“M”键打开大地图)。你能在星之城中部找到她。)</t>
  </si>
  <si>
    <t>body(   圣骑士是格斗高手，可以向他询问如何使用武器。)</t>
  </si>
  <si>
    <t>body(   好的，我也只能教导你最基本的技巧，其他靠你自己的领悟了。#p哈哈)</t>
  </si>
  <si>
    <t>""</t>
  </si>
  <si>
    <t>&lt;p&gt;&lt;goto id="60005" flagpoint="1" mapid="1"/&gt;&lt;n&gt;正在等你，“L”键查看&lt;/n&gt;&lt;dialog text="任务详细" hotkeyid="3" /&gt;&lt;/p&gt;</t>
  </si>
  <si>
    <t>去找艾薇儿NPC,交付任务失去任务物品圣骑士写给艾薇儿的情书（31038）</t>
  </si>
  <si>
    <t>&lt;p&gt;
&lt;n&gt;  回复：&lt;/n&gt;
 &lt;n&gt; &lt;/n&gt;&lt;goto quick="1" id="60005" mapid="1" flagpoint="1" taskid="3031" /&gt;
&lt;/p&gt;</t>
  </si>
  <si>
    <t>&lt;p&gt;
&lt;n&gt; 回复：&lt;/n&gt;
 &lt;n&gt; &lt;/n&gt;&lt;goto quick="1" id="60005" mapid="1" flagpoint="1" taskid="3031"/&gt;&lt;/p&gt;</t>
  </si>
  <si>
    <t>[3级]初试牛刀</t>
  </si>
  <si>
    <t>艾薇儿</t>
  </si>
  <si>
    <t xml:space="preserve"> {{23037,0,10,0,"1-0"},{23041,0,10,0,"1-0"}}</t>
  </si>
  <si>
    <t>title( [3级]初试牛刀)
body(hotyellow_3(任务进程:)newline()
   击败3个goto(10104,1)后，回复goto(60029,1)。
blankline()hotyellow_3(任务描述:)newline() 
   只有通过不断的战斗，才能提升真正的能力。去试试吧。)</t>
  </si>
  <si>
    <t>body(space()space()space()player()， 只有通过不断的战斗，才能提升真正的能力。去试试吧。#p奋斗)</t>
  </si>
  <si>
    <t>body(   居然又把那么可爱的怪物杀了！#p哭)</t>
  </si>
  <si>
    <t>&lt;p&gt;&lt;n&gt;击败&lt;/n&gt;&lt;goto id="10104" flagpoint="1" mapid="1"/&gt;&lt;dialog text="自动打怪" hotkeyid="54" /&gt;&lt;/p&gt;</t>
  </si>
  <si>
    <t>&lt;p&gt;
&lt;n&gt;  击败： &lt;/n&gt;
 &lt;n&gt; &lt;/n&gt;&lt;goto quick="1" id="10104" mapid="1" flagpoint="1" taskid="3041"/&gt;
&lt;/p&gt;</t>
  </si>
  <si>
    <t>&lt;p&gt;
&lt;n&gt;  回复：&lt;/n&gt;
 &lt;n&gt; &lt;/n&gt;&lt;goto quick="1" id="60029" mapid="1" flagpoint="1" taskid="3041"/&gt;&lt;/p&gt;</t>
  </si>
  <si>
    <t>霍利克</t>
  </si>
  <si>
    <t>title(（21级）镇长的推荐信)
body(hotyellow_3(任务进程:)newline()
   将hot(推荐信)交给goto(60017,2)。
blankline()hotyellow_3(任务描述:)newline() 
   hot3(光明骑士团是隶属于光明教会的武装力量！光明骑士团的存在，就是为了消灭黑暗，带领人类走向光明！))</t>
  </si>
  <si>
    <t>body(   年轻人，你所表现的战斗力，远超我对年轻战士的认知。请你务必带上我这封信，去光明城找我们的头。)</t>
  </si>
  <si>
    <t>&lt;p&gt;
&lt;n&gt;  将推荐信交给&lt;/n&gt;
 &lt;n&gt; &lt;/n&gt;&lt;goto quick="1" id="60017" mapid="2" flagpoint="1" taskid="3801" /&gt;
&lt;/p&gt;</t>
  </si>
  <si>
    <t>&lt;p&gt;
&lt;n&gt;  将信交给：&lt;/n&gt;
 &lt;n&gt; &lt;/n&gt;&lt;goto quick="1" id="60017" mapid="2" flagpoint="1" taskid="3801"/&gt;&lt;/p&gt;</t>
  </si>
  <si>
    <t>对话</t>
    <phoneticPr fontId="17" type="noConversion"/>
  </si>
  <si>
    <t>成人引礼</t>
  </si>
  <si>
    <t>自然灵蕴</t>
    <phoneticPr fontId="17" type="noConversion"/>
  </si>
  <si>
    <t>采集</t>
    <phoneticPr fontId="17" type="noConversion"/>
  </si>
  <si>
    <t>兽骨铮铮</t>
    <phoneticPr fontId="17" type="noConversion"/>
  </si>
  <si>
    <t>军资防具</t>
    <phoneticPr fontId="17" type="noConversion"/>
  </si>
  <si>
    <t>东夷族长</t>
    <phoneticPr fontId="17" type="noConversion"/>
  </si>
  <si>
    <t>系统自动接取</t>
    <phoneticPr fontId="17" type="noConversion"/>
  </si>
  <si>
    <t>系统自动</t>
    <phoneticPr fontId="17" type="noConversion"/>
  </si>
  <si>
    <t>你可听明白了？</t>
    <phoneticPr fontId="17" type="noConversion"/>
  </si>
  <si>
    <t>&lt;p&gt;
&lt;n&gt;回复：&lt;/n&gt;
 &lt;n&gt; &lt;/n&gt;&lt;goto quick="1" id="10001" mapid="2" flagpoint="1" taskid="1001"/&gt;
&lt;/p&gt;</t>
    <phoneticPr fontId="17" type="noConversion"/>
  </si>
  <si>
    <t>聆听族长的警训。</t>
    <phoneticPr fontId="17" type="noConversion"/>
  </si>
  <si>
    <t>寻找属于自己的自然灵蕴。</t>
    <phoneticPr fontId="17" type="noConversion"/>
  </si>
  <si>
    <t>&lt;p&gt;
&lt;n&gt;  聆听&lt;/n&gt;
 &lt;n&gt; &lt;/n&gt;&lt;goto quick="1" id="10001" mapid="2" flagpoint="1" taskid="1001" /&gt;
&lt;n&gt;的警训。&lt;/n&gt;
&lt;/p&gt;</t>
    <phoneticPr fontId="17" type="noConversion"/>
  </si>
  <si>
    <t>&lt;p&gt;
&lt;n&gt;  寻找属于自己的&lt;/n&gt;
 &lt;n&gt; &lt;/n&gt;&lt;goto quick="1" id="10006" mapid="2" flagpoint="1" taskid="1002" /&gt;
&lt;/p&gt;</t>
    <phoneticPr fontId="17" type="noConversion"/>
  </si>
  <si>
    <t>防身器灵</t>
    <phoneticPr fontId="17" type="noConversion"/>
  </si>
  <si>
    <t>初次报到</t>
    <phoneticPr fontId="17" type="noConversion"/>
  </si>
  <si>
    <t>title(防身器灵)
body(hotyellow_3(任务进程:)newline()
   与goto(10001,2)交谈。
blankline()hotyellow_3(任务描述:)newline() 
space()space()space()自然灵蕴暗含强大的神力，但只有有缘人才能触发，一般人则只能受到神灵的祝福。族长将自然灵蕴注入了武器，并将之赠予你，希望你能顺利通过成人礼的考验。)</t>
    <phoneticPr fontId="17" type="noConversion"/>
  </si>
  <si>
    <t>title(初次报到)
body(hotyellow_3(任务进程:)newline()
   与goto(10002,2)交谈。
blankline()hotyellow_3(任务描述:)newline() 
space()space()space()成人礼的考验地点在不远处的平原村，负责此次考验的是两位年轻有为的军官。经过族长的指引，你需要先到训练官处报到。)</t>
    <phoneticPr fontId="17" type="noConversion"/>
  </si>
  <si>
    <t>自然灵蕴就在附近，仔细找找。</t>
    <phoneticPr fontId="17" type="noConversion"/>
  </si>
  <si>
    <t>接受族长的馈赠，获得第一把武器。</t>
    <phoneticPr fontId="17" type="noConversion"/>
  </si>
  <si>
    <t>训练官</t>
    <phoneticPr fontId="17" type="noConversion"/>
  </si>
  <si>
    <t>前往平原村，向训练官报到。</t>
    <phoneticPr fontId="17" type="noConversion"/>
  </si>
  <si>
    <t>&lt;p&gt;
&lt;n&gt;  接受&lt;/n&gt;
 &lt;n&gt; &lt;/n&gt;&lt;goto quick="1" id="10001" mapid="2" flagpoint="1" taskid="1003" /&gt;
&lt;n&gt;的馈赠。&lt;/n&gt;
&lt;/p&gt;</t>
    <phoneticPr fontId="17" type="noConversion"/>
  </si>
  <si>
    <t>&lt;p&gt;
&lt;n&gt;回复：&lt;/n&gt;
 &lt;n&gt; &lt;/n&gt;&lt;goto quick="1" id="10001" mapid="2" flagpoint="1" taskid="1002"/&gt;
&lt;/p&gt;</t>
    <phoneticPr fontId="17" type="noConversion"/>
  </si>
  <si>
    <t>&lt;p&gt;
&lt;n&gt;回复：&lt;/n&gt;
 &lt;n&gt; &lt;/n&gt;&lt;goto quick="1" id="10001" mapid="2" flagpoint="1" taskid="1003"/&gt;
&lt;/p&gt;</t>
    <phoneticPr fontId="17" type="noConversion"/>
  </si>
  <si>
    <t>&lt;p&gt;
&lt;n&gt;回复：&lt;/n&gt;
 &lt;n&gt; &lt;/n&gt;&lt;goto quick="1" id="10002" mapid="2" flagpoint="1" taskid="1004"/&gt;
&lt;/p&gt;</t>
    <phoneticPr fontId="17" type="noConversion"/>
  </si>
  <si>
    <t>&lt;p&gt;
&lt;n&gt;  前往平原村，向&lt;/n&gt;
 &lt;n&gt; &lt;/n&gt;&lt;goto quick="1" id="10002" mapid="2" flagpoint="1" taskid="1004" /&gt;
&lt;n&gt;报到。&lt;/n&gt;
&lt;/p&gt;</t>
    <phoneticPr fontId="17" type="noConversion"/>
  </si>
  <si>
    <t>虫灾惶惶</t>
    <phoneticPr fontId="17" type="noConversion"/>
  </si>
  <si>
    <t>那些虫怪就在村子附近徘徊！</t>
    <phoneticPr fontId="17" type="noConversion"/>
  </si>
  <si>
    <t>协助训练官驱除虫怪。</t>
    <phoneticPr fontId="17" type="noConversion"/>
  </si>
  <si>
    <t>&lt;p&gt;
&lt;n&gt;驱除&lt;/n&gt;
 &lt;n&gt; &lt;/n&gt;&lt;goto quick="1" id="10007" mapid="2" flagpoint="1" taskid="1005" /&gt;
&lt;/p&gt;</t>
    <phoneticPr fontId="17" type="noConversion"/>
  </si>
  <si>
    <t>&lt;p&gt;
&lt;n&gt;回复：&lt;/n&gt;
 &lt;n&gt; &lt;/n&gt;&lt;goto quick="1" id="10002" mapid="2" flagpoint="1" taskid="1005"/&gt;
&lt;/p&gt;</t>
    <phoneticPr fontId="17" type="noConversion"/>
  </si>
  <si>
    <t>{s_taskKillNpc, {10002,10002,10007,3}}</t>
    <phoneticPr fontId="17" type="noConversion"/>
  </si>
  <si>
    <t>蹊跷初生</t>
    <phoneticPr fontId="17" type="noConversion"/>
  </si>
  <si>
    <t>因人而异</t>
    <phoneticPr fontId="17" type="noConversion"/>
  </si>
  <si>
    <t>兽皮</t>
    <phoneticPr fontId="17" type="noConversion"/>
  </si>
  <si>
    <t>军需官</t>
    <phoneticPr fontId="17" type="noConversion"/>
  </si>
  <si>
    <t>title(蹊跷初生)
body(hotyellow_3(任务进程:)newline()
   与goto(10003,2)交谈。
blankline()hotyellow_3(任务描述:)newline() 
space()space()space()虫灾一事十分蹊跷，上百年来，此处都相安无事，竟然在成人礼考验的时候出现这种情况，如若不是天意，便是有人有意为之。然而，成人礼考验不能因此中断，事关重大，训练官想要亲自去查探，你需要前去寻找军需官处接受考验。)</t>
    <phoneticPr fontId="17" type="noConversion"/>
  </si>
  <si>
    <t>村子附近或许便可以寻到些兽骨。</t>
    <phoneticPr fontId="17" type="noConversion"/>
  </si>
  <si>
    <t>村子附近或许便可以寻到些兽皮。</t>
    <phoneticPr fontId="17" type="noConversion"/>
  </si>
  <si>
    <t>向军需官询问考验事宜。</t>
    <phoneticPr fontId="17" type="noConversion"/>
  </si>
  <si>
    <t>&lt;p&gt;
&lt;n&gt;  向&lt;/n&gt;
 &lt;n&gt; &lt;/n&gt;&lt;goto quick="1" id="10003" mapid="2" flagpoint="1" taskid="1006" /&gt;
&lt;n&gt;询问考验事宜。&lt;/n&gt;
&lt;/p&gt;</t>
    <phoneticPr fontId="17" type="noConversion"/>
  </si>
  <si>
    <t>&lt;p&gt;
&lt;n&gt;回复：&lt;/n&gt;
 &lt;n&gt; &lt;/n&gt;&lt;goto quick="1" id="10003" mapid="2" flagpoint="1" taskid="1006"/&gt;
&lt;/p&gt;</t>
    <phoneticPr fontId="17" type="noConversion"/>
  </si>
  <si>
    <t>听取军需官的建议。</t>
    <phoneticPr fontId="17" type="noConversion"/>
  </si>
  <si>
    <t>&lt;p&gt;
&lt;n&gt;  听取&lt;/n&gt;
 &lt;n&gt; &lt;/n&gt;&lt;goto quick="1" id="10003" mapid="2" flagpoint="1" taskid="1007" /&gt;
&lt;n&gt;的建议。&lt;/n&gt;
&lt;/p&gt;</t>
    <phoneticPr fontId="17" type="noConversion"/>
  </si>
  <si>
    <t>&lt;p&gt;
&lt;n&gt;回复：&lt;/n&gt;
 &lt;n&gt; &lt;/n&gt;&lt;goto quick="1" id="10003" mapid="2" flagpoint="1" taskid="1007"/&gt;
&lt;/p&gt;</t>
    <phoneticPr fontId="17" type="noConversion"/>
  </si>
  <si>
    <t>title(因人而异)
body(hotyellow_3(任务进程:)newline()
   与goto(10003,2)交谈。
blankline()hotyellow_3(任务描述:)newline() 
space()space()space()考验的内容因人而异，是训练官与军需官根据各族长提供的资料，经过多番考虑才予以确定的。)</t>
    <phoneticPr fontId="17" type="noConversion"/>
  </si>
  <si>
    <t>title(兽骨铮铮)
body(hotyellow_3(任务进程:)newline()
   击败goto(10008,2)并回复goto(10003,2)。
blankline()hotyellow_3(任务描述:)newline() 
space()space()space()第一项考验，便是击败村外的鬣狗，并收集它们的兽骨。)</t>
    <phoneticPr fontId="17" type="noConversion"/>
  </si>
  <si>
    <t>title(兽皮)
body(hotyellow_3(任务进程:)newline()
   击败goto(10009,2)并回复goto(10003,2)。
blankline()hotyellow_3(任务描述:)newline() 
space()space()space()第二项考验，则是击败村外的熊，并收集它们的熊皮。)</t>
    <phoneticPr fontId="17" type="noConversion"/>
  </si>
  <si>
    <t>title(军资防具)
body(hotyellow_3(任务进程:)newline()
   与goto(10003,2)交谈。
blankline()hotyellow_3(任务描述:)newline() 
space()space()space()军需官利用你收集来的战利品，换取了一套军用防具，并将之赠予了你。)</t>
    <phoneticPr fontId="17" type="noConversion"/>
  </si>
  <si>
    <t>获得军需官的馈赠。</t>
    <phoneticPr fontId="17" type="noConversion"/>
  </si>
  <si>
    <t>&lt;p&gt;
&lt;n&gt;  获得&lt;/n&gt;
 &lt;n&gt; &lt;/n&gt;&lt;goto quick="1" id="10003" mapid="2" flagpoint="1" taskid="1010" /&gt;
&lt;n&gt;的馈赠。&lt;/n&gt;
&lt;/p&gt;</t>
    <phoneticPr fontId="17" type="noConversion"/>
  </si>
  <si>
    <t>&lt;p&gt;
&lt;n&gt;击败&lt;/n&gt;
 &lt;n&gt; &lt;/n&gt;&lt;goto quick="1" id="10009" mapid="2" flagpoint="1" taskid="1009" /&gt;
&lt;n&gt;获得兽皮。&lt;/n&gt;
&lt;/p&gt;</t>
    <phoneticPr fontId="17" type="noConversion"/>
  </si>
  <si>
    <t>击败熊获得兽皮。</t>
    <phoneticPr fontId="17" type="noConversion"/>
  </si>
  <si>
    <t>击败鬣狗获得兽骨。</t>
    <phoneticPr fontId="17" type="noConversion"/>
  </si>
  <si>
    <t>&lt;p&gt;
&lt;n&gt;击败&lt;/n&gt;
 &lt;n&gt; &lt;/n&gt;&lt;goto quick="1" id="10008" mapid="2" flagpoint="1" taskid="1008" /&gt;
&lt;n&gt;获得兽骨。&lt;/n&gt;
&lt;/p&gt;</t>
    <phoneticPr fontId="17" type="noConversion"/>
  </si>
  <si>
    <t>&lt;p&gt;
&lt;n&gt;回复：&lt;/n&gt;
 &lt;n&gt; &lt;/n&gt;&lt;goto quick="1" id="10003" mapid="2" flagpoint="1" taskid="1008"/&gt;
&lt;/p&gt;</t>
    <phoneticPr fontId="17" type="noConversion"/>
  </si>
  <si>
    <t>&lt;p&gt;
&lt;n&gt;回复：&lt;/n&gt;
 &lt;n&gt; &lt;/n&gt;&lt;goto quick="1" id="10003" mapid="2" flagpoint="1" taskid="1009"/&gt;
&lt;/p&gt;</t>
    <phoneticPr fontId="17" type="noConversion"/>
  </si>
  <si>
    <t>&lt;p&gt;
&lt;n&gt;回复：&lt;/n&gt;
 &lt;n&gt; &lt;/n&gt;&lt;goto quick="1" id="10003" mapid="2" flagpoint="1" taskid="1010"/&gt;
&lt;/p&gt;</t>
    <phoneticPr fontId="17" type="noConversion"/>
  </si>
  <si>
    <t>{s_taskKillNpc, {10003,10003,10008,3}}</t>
    <phoneticPr fontId="17" type="noConversion"/>
  </si>
  <si>
    <t>{s_taskKillNpc, {10003,10003,10009,3}}</t>
    <phoneticPr fontId="17" type="noConversion"/>
  </si>
  <si>
    <t>&lt;p&gt;
&lt;n&gt;回复：&lt;/n&gt;
 &lt;n&gt; &lt;/n&gt;&lt;goto quick="1" id="107" mapid="1" flagpoint="1" taskid="3007"/&gt;
&lt;/p&gt;</t>
    <phoneticPr fontId="17" type="noConversion"/>
  </si>
  <si>
    <t>&lt;p&gt;
&lt;n&gt;回复：&lt;/n&gt;
 &lt;n&gt; &lt;/n&gt;&lt;goto quick="1" id="107" mapid="1" flagpoint="1" taskid="3008"/&gt;
&lt;/p&gt;</t>
    <phoneticPr fontId="17" type="noConversion"/>
  </si>
  <si>
    <t>body(   space()space()space()您要帮我们猎取食物吗？您真是个好人。但是野猪岛的野猪很是凶猛，殿下可得当心。)</t>
    <phoneticPr fontId="17" type="noConversion"/>
  </si>
  <si>
    <t>npc:body(   space()space()space()成人之礼，沿至黄帝，意义非凡。其考验之地位于离此处不远的平原村，而负责此次考验的，乃两位年轻有为的军官。此行，你得先到训练官处报道。)|player:body(   space()space()space()竟是让军官来考验，看来着实非同一般。)</t>
    <phoneticPr fontId="17" type="noConversion"/>
  </si>
  <si>
    <t>npc:body(   space()space()space()村中突现虫灾，人心惶惶。你此时是为成人礼考验而来，定是有些过人之处，可否协助本官，先将这虫怪驱除，缓解虫灾。)|player:body(   space()space()space()荣幸之至！)</t>
    <phoneticPr fontId="17" type="noConversion"/>
  </si>
  <si>
    <t>npc:body(   space()space()space()虫灾一事十分蹊跷，上百年来，此处都相安无事，竟然在此刻出现此等状况，如若并非天意，便是有人有意为之。然而，成人礼考验不能因此中断，事关重大，本官需亲自去查探一番，考验的相关事宜，军需官已安排妥帖，你可先行去寻他。)|player:body(   space()space()space()您是说有人意图破坏成人礼仪式？)|npc:body(   space()space()space()player()本官也只是猜测。事关重大，本官需亲自去查探一番，考验的相关事宜，军需官已安排妥帖，你可先行去寻他。)</t>
    <phoneticPr fontId="17" type="noConversion"/>
  </si>
  <si>
    <t>npc:body(   space()space()space()村外常有鬣狗出没，身上的兽骨十分适合用于制作军用物资，你且去寻些回来。)</t>
    <phoneticPr fontId="17" type="noConversion"/>
  </si>
  <si>
    <t>npc:body(   space()space()space()你在搜集兽骨之时，可有遇到那凶猛的熊？有了兽骨，就差那兽皮，你再去寻些回来。)</t>
    <phoneticPr fontId="17" type="noConversion"/>
  </si>
  <si>
    <t>npc:body(   space()space()space()这兽骨与兽皮颇好，而你的表现也着实不错。这套防具，就赠与你了。成人之路漫漫，你必须秉承本心，不忘族恩！)</t>
    <phoneticPr fontId="17" type="noConversion"/>
  </si>
  <si>
    <t>npc:body(   space()space()space()这套军用防具与你倒是十分相称……)</t>
    <phoneticPr fontId="17" type="noConversion"/>
  </si>
  <si>
    <t>npc:body(   space()space()space()竟能寻到这么多，实属不易！)</t>
    <phoneticPr fontId="17" type="noConversion"/>
  </si>
  <si>
    <t>npc:body(   space()space()space()没错，就是这兽骨！)</t>
    <phoneticPr fontId="17" type="noConversion"/>
  </si>
  <si>
    <t>npc:body(   space()space()space()你需得用心对待此次考验，考验任务将一一告知你，并根据情况进行评分，最终决定你是否通过。)</t>
    <phoneticPr fontId="17" type="noConversion"/>
  </si>
  <si>
    <t>npc:body(   space()space()space()我已得知你的情况，如今有些事宜需与你说明。)</t>
    <phoneticPr fontId="17" type="noConversion"/>
  </si>
  <si>
    <t>npc:body(   space()space()space()此事多亏你出手相助。)</t>
    <phoneticPr fontId="17" type="noConversion"/>
  </si>
  <si>
    <t>npc:body(   space()space()space()你便是族长所推之人？！来得正好！)</t>
    <phoneticPr fontId="17" type="noConversion"/>
  </si>
  <si>
    <t>npc:body(   space()space()space()这把武器如今通些灵性，你可得随身携带！)</t>
    <phoneticPr fontId="17" type="noConversion"/>
  </si>
  <si>
    <r>
      <t>npc:body(   space()space()space()这灵蕴果然颇具灵性，定能佑你一生。</t>
    </r>
    <r>
      <rPr>
        <sz val="11"/>
        <color theme="1"/>
        <rFont val="宋体"/>
        <family val="3"/>
        <charset val="134"/>
        <scheme val="minor"/>
      </rPr>
      <t>)</t>
    </r>
    <r>
      <rPr>
        <sz val="11"/>
        <color theme="1"/>
        <rFont val="宋体"/>
        <family val="3"/>
        <charset val="134"/>
        <scheme val="minor"/>
      </rPr>
      <t xml:space="preserve">
</t>
    </r>
    <phoneticPr fontId="17" type="noConversion"/>
  </si>
  <si>
    <t>npc:body(   space()space()space()player()，如今你亦成人，即将参加成人之礼，委实可喜可贺！)</t>
    <phoneticPr fontId="17" type="noConversion"/>
  </si>
  <si>
    <t>npc:body(   space()space()space()成人伊始，引礼为礼。华夏自黄帝一统，已逾越几百年。然大陆经旷世战火，仍坚立不摧，屡受劫掠，百废又兴，此皆历代子孙之功也！凡我族人，皆须以我族兴亡为己任，勇负重责，此乃成人之道，谨记！)|player:body(   space()space()space()族长之言，定当谨记！)</t>
    <phoneticPr fontId="17" type="noConversion"/>
  </si>
  <si>
    <r>
      <t>npc:body(   space()space()space()每年的春夏之际，皆是成年族人接受成人礼考验的时候。身为族长，我已为你祈求神灵的庇佑，天降祥瑞，神灵赐下的自然灵蕴已经散落在附近，你需要前去寻找属于你的自然灵蕴。</t>
    </r>
    <r>
      <rPr>
        <sz val="11"/>
        <color theme="1"/>
        <rFont val="宋体"/>
        <family val="3"/>
        <charset val="134"/>
        <scheme val="minor"/>
      </rPr>
      <t>)</t>
    </r>
    <r>
      <rPr>
        <sz val="11"/>
        <color theme="1"/>
        <rFont val="宋体"/>
        <family val="3"/>
        <charset val="134"/>
        <scheme val="minor"/>
      </rPr>
      <t>|player:body(   space()space()space()属于自己的自然灵蕴？</t>
    </r>
    <r>
      <rPr>
        <sz val="11"/>
        <color theme="1"/>
        <rFont val="宋体"/>
        <family val="3"/>
        <charset val="134"/>
        <scheme val="minor"/>
      </rPr>
      <t>)</t>
    </r>
    <phoneticPr fontId="17" type="noConversion"/>
  </si>
  <si>
    <t>npc:body(   space()space()space()自然灵蕴暗含强大神力，只要是我族之人，便能受到神灵的祝福，而如若你乃天定之人，则会触发神力，为你所用。)|player:body(   space()space()space()何为天定之人？)|npc:body(   space()space()space()player()天定之人，必然是天机。我现将此灵蕴注入这把武器中，你暂可用它防身。待机缘成熟，或许这股神力能被你唤醒。)</t>
    <phoneticPr fontId="17" type="noConversion"/>
  </si>
  <si>
    <t>奖励道具</t>
    <phoneticPr fontId="17" type="noConversion"/>
  </si>
  <si>
    <t>奖励道具</t>
    <phoneticPr fontId="19" type="noConversion"/>
  </si>
  <si>
    <t>{{ID,droptype,num,judge,"attr"},{1001,0,1,1,"6-4,7-3"},……}(droptype:1——直接扔到场景 2——直接发送到邮箱 3——如果包裹满了就直接发邮箱 0和其他就是直接加）</t>
    <phoneticPr fontId="19" type="noConversion"/>
  </si>
  <si>
    <t>任务追踪</t>
    <phoneticPr fontId="19" type="noConversion"/>
  </si>
  <si>
    <r>
      <rPr>
        <sz val="11"/>
        <color theme="1"/>
        <rFont val="宋体"/>
        <family val="3"/>
        <charset val="134"/>
      </rPr>
      <t>&lt;p&gt;
&lt;n&gt;找到： &lt;/n&gt;
 &lt;n&gt; &lt;/n&gt;&lt;goto quick="1" id="</t>
    </r>
    <r>
      <rPr>
        <sz val="11"/>
        <color theme="1"/>
        <rFont val="宋体"/>
        <family val="3"/>
        <charset val="134"/>
      </rPr>
      <t>101</t>
    </r>
    <r>
      <rPr>
        <sz val="11"/>
        <color theme="1"/>
        <rFont val="宋体"/>
        <family val="3"/>
        <charset val="134"/>
      </rPr>
      <t>" mapid="1" flagpoint="1" taskid="3001"/&gt;
&lt;/p&gt;</t>
    </r>
    <phoneticPr fontId="17" type="noConversion"/>
  </si>
  <si>
    <t>flagpoint：1——自己走到指定坐标 0——直接传送到指定坐标</t>
    <phoneticPr fontId="19" type="noConversion"/>
  </si>
  <si>
    <t xml:space="preserve">{{7,0,1,0,""},{14,0,3,0,""}}
</t>
    <phoneticPr fontId="17" type="noConversion"/>
  </si>
  <si>
    <r>
      <t>{{1,</t>
    </r>
    <r>
      <rPr>
        <sz val="11"/>
        <rFont val="宋体"/>
        <family val="3"/>
        <charset val="134"/>
      </rPr>
      <t>0</t>
    </r>
    <r>
      <rPr>
        <sz val="11"/>
        <rFont val="宋体"/>
        <family val="3"/>
        <charset val="134"/>
      </rPr>
      <t>,1,0,""},{14,</t>
    </r>
    <r>
      <rPr>
        <sz val="11"/>
        <rFont val="宋体"/>
        <family val="3"/>
        <charset val="134"/>
      </rPr>
      <t>0</t>
    </r>
    <r>
      <rPr>
        <sz val="11"/>
        <rFont val="宋体"/>
        <family val="3"/>
        <charset val="134"/>
      </rPr>
      <t xml:space="preserve">,3,0,""}}
</t>
    </r>
    <phoneticPr fontId="17" type="noConversion"/>
  </si>
  <si>
    <t xml:space="preserve">{{14,0,3,0,""}}
</t>
    <phoneticPr fontId="17" type="noConversion"/>
  </si>
  <si>
    <t>{{14,0,3,0,""}}</t>
  </si>
  <si>
    <t>灵宠战魂</t>
    <phoneticPr fontId="1" type="noConversion"/>
  </si>
  <si>
    <t>王甲迷踪</t>
    <phoneticPr fontId="1" type="noConversion"/>
  </si>
  <si>
    <t>受伤的王甲</t>
    <phoneticPr fontId="17" type="noConversion"/>
  </si>
  <si>
    <t>title(灵宠战魂)
body(hotyellow_3(任务进程:)newline()
   与goto(10003,2)交谈。
blankline()hotyellow_3(任务描述:)newline() 
space()space()space()原本一切都在按部就班，突然军需官脸色大变，但他现在军务在身，只得将此紧急任务交予你。此事变数太多，于是军需官召出灵宠，并告知你，灵宠将作为你的战魂，助你一臂之力。)</t>
    <phoneticPr fontId="17" type="noConversion"/>
  </si>
  <si>
    <t>title(成人引礼)
body(hotyellow_3(任务进程:)newline()
   与goto(10001,2)交谈。
blankline()hotyellow_3(任务描述:)newline() 
space()space()space()成人之礼乃每个部族的传统习俗，根据部族既定的规则，在每年的春夏之季，各部族都会安排各自的成年族众参加成人礼考验。现在，先去聆听族长的警训吧！)</t>
    <phoneticPr fontId="17" type="noConversion"/>
  </si>
  <si>
    <t>npc:body(   space()space()space()为了以示公正，考验项目皆是由本官与训练官二人，根据族长提供的资料，共同商议拟定的。考验一旦开始，不可无故退席，这是成人本便该有的担当。)|player:body(   space()space()space()长官所言甚是！)</t>
    <phoneticPr fontId="17" type="noConversion"/>
  </si>
  <si>
    <t>npc:body(   space()space()space()战魂之力，不容小觑，你可得好好感受一番。)</t>
    <phoneticPr fontId="17" type="noConversion"/>
  </si>
  <si>
    <t>从军需官处获得战魂的协助。</t>
    <phoneticPr fontId="17" type="noConversion"/>
  </si>
  <si>
    <t>&lt;p&gt;
&lt;n&gt;  从&lt;/n&gt;
 &lt;n&gt; &lt;/n&gt;&lt;goto quick="1" id="10003" mapid="2" flagpoint="1" taskid="1011" /&gt;
&lt;n&gt;处获得战魂的协助。&lt;/n&gt;
&lt;/p&gt;</t>
    <phoneticPr fontId="17" type="noConversion"/>
  </si>
  <si>
    <t>&lt;p&gt;
&lt;n&gt;回复：&lt;/n&gt;
 &lt;n&gt; &lt;/n&gt;&lt;goto quick="1" id="10003" mapid="2" flagpoint="1" taskid="1011"/&gt;
&lt;/p&gt;</t>
    <phoneticPr fontId="17" type="noConversion"/>
  </si>
  <si>
    <t>title(王甲迷踪)
body(hotyellow_3(任务进程:)newline()
   与goto(10004,2)交谈。
blankline()hotyellow_3(任务描述:)newline() 
space()space()space()村中的猎人王甲出外打猎，至今未归，不知是否出了意外。村外的东北处有一招魂台，王甲常在那边打猎，希望你前去查探一下。)</t>
    <phoneticPr fontId="17" type="noConversion"/>
  </si>
  <si>
    <t>npc:body(   space()space()space()刚村民来报，村中出了些状况。然本官如今军务在身，不便亲自前往。你资质不错，不若将此任务交予你，也可作为你的考验。)|player:body(   space()space()space()看您神色，似乎此事很是着急，不知是否很棘手？)|npc:body(   space()space()space()唔，本官也无法确定，此事变数太多。这是灵宠，将作为你的战魂，助你一臂之力。)</t>
    <phoneticPr fontId="17" type="noConversion"/>
  </si>
  <si>
    <t>npc:body(   space()space()space()此事便是让你去寻人，此人名曰王甲，乃村中一猎户，他出外打猎，至今未归，不知是否出了意外。)|player:body(   space()space()space()不知他平素常去之地在何处？或许可以先去那处找找看。)|npc:body(   space()space()space()村外的东北处有一招魂台，他时常在那边打猎，不妨先去查探一下。)</t>
    <phoneticPr fontId="17" type="noConversion"/>
  </si>
  <si>
    <t>npc:body(   space()space()space()前面的勇士，救救我！)</t>
    <phoneticPr fontId="17" type="noConversion"/>
  </si>
  <si>
    <t>寻找极有可能受伤的王甲。</t>
    <phoneticPr fontId="17" type="noConversion"/>
  </si>
  <si>
    <r>
      <t>&lt;p&gt;
&lt;n&gt;  寻找极有可能&lt;/n&gt;
 &lt;n&gt; &lt;/n&gt;&lt;goto quick="1" id="1000</t>
    </r>
    <r>
      <rPr>
        <sz val="11"/>
        <rFont val="宋体"/>
        <family val="3"/>
        <charset val="134"/>
      </rPr>
      <t>4</t>
    </r>
    <r>
      <rPr>
        <sz val="11"/>
        <rFont val="宋体"/>
        <family val="3"/>
        <charset val="134"/>
      </rPr>
      <t>" mapid="2" flagpoint="1" taskid="101</t>
    </r>
    <r>
      <rPr>
        <sz val="11"/>
        <rFont val="宋体"/>
        <family val="3"/>
        <charset val="134"/>
      </rPr>
      <t>2</t>
    </r>
    <r>
      <rPr>
        <sz val="11"/>
        <rFont val="宋体"/>
        <family val="3"/>
        <charset val="134"/>
      </rPr>
      <t>" /&gt;
&lt;/p&gt;</t>
    </r>
    <phoneticPr fontId="17" type="noConversion"/>
  </si>
  <si>
    <t>&lt;p&gt;
&lt;n&gt;回复：&lt;/n&gt;
 &lt;n&gt; &lt;/n&gt;&lt;goto quick="1" id="10004" mapid="2" flagpoint="1" taskid="1012"/&gt;
&lt;/p&gt;</t>
    <phoneticPr fontId="17" type="noConversion"/>
  </si>
  <si>
    <t>身陷险境</t>
    <phoneticPr fontId="1" type="noConversion"/>
  </si>
  <si>
    <t>止血灵药</t>
    <phoneticPr fontId="1" type="noConversion"/>
  </si>
  <si>
    <t>骨饰之谜</t>
    <phoneticPr fontId="1" type="noConversion"/>
  </si>
  <si>
    <t>title(虫灾惶惶)
body(hotyellow_3(任务进程:)newline()
   驱除goto(10007,2)并回复goto(10002,2)。
blankline()hotyellow_3(任务描述:)newline() 
space()space()space()平原村里人心惶惶，原来是村中突现虫灾，训练官得知你的来意，见你身姿矫健，希望你能先帮忙驱除虫怪，缓解虫灾。)</t>
    <phoneticPr fontId="17" type="noConversion"/>
  </si>
  <si>
    <t>title(自然灵蕴)
body(hotyellow_3(任务进程:)newline()
   寻找goto(10006,2)并回复goto(10001,2)。
blankline()hotyellow_3(任务描述:)newline() 
space()space()space()在前往参加考验之前，族长会为你祈求神灵的庇佑。族长乃自然神力的传达之人，天降祥瑞，神灵赐下的自然灵蕴已经散落在附近，快去寻找属于你的自然灵蕴。)</t>
    <phoneticPr fontId="17" type="noConversion"/>
  </si>
  <si>
    <t>title(骨饰之谜)
body(hotyellow_3(任务进程:)newline()
   击败goto(10012,2)并回复goto(10004,2)。
blankline()hotyellow_3(任务描述:)newline() 
space()space()space()王甲伤势得到了控制，然而他身上的骨饰却不翼而飞。这骨饰乃王甲祖辈所传，珍异非凡，似乎还带有某种神力。先前王甲曾到招魂台猎杀怒熊，但并未成功，仓皇而逃，估计就是那个时候掉落的。王甲希望你能前去招魂台，帮他找回丢失的骨饰。)</t>
    <phoneticPr fontId="17" type="noConversion"/>
  </si>
  <si>
    <t>title(自然灵蕴)
body(hotyellow_3(任务进程:)newline()
   寻找goto(10011,2)并回复goto(10004,2)。
blankline()hotyellow_3(任务描述:)newline() 
space()space()space()王甲虽是多处受伤，但伤口看起来更像是特意避开要害，这事十分费解。当务之急，还是到附近采集一些草药，先止住血。)</t>
    <phoneticPr fontId="17" type="noConversion"/>
  </si>
  <si>
    <t>title(身陷险境)
body(hotyellow_3(任务进程:)newline()
   击败goto(10010,2)并回复goto(10004,2)。
blankline()hotyellow_3(任务描述:)newline() 
space()space()space()王甲果真在招魂台附近，然而此处竟然出现了凶兽，令王甲无法脱身。凶兽似乎被蛊惑了心神，务必小心应付。)</t>
    <phoneticPr fontId="17" type="noConversion"/>
  </si>
  <si>
    <t>npc:body(   space()space()space()勇士，我乃平原村猎人王甲，这些凶兽与我对峙多时，可否出手相助？)|player:body(   space()space()space()这些凶兽似乎被蛊惑了心神，你已受伤，务必小心应付，我必解救于你！)</t>
    <phoneticPr fontId="17" type="noConversion"/>
  </si>
  <si>
    <t>npc:body(   space()space()space()我也未曾想到，此番出来狩猎会遇到此等状况，委实是让村里人担忧了。)|player:body(   space()space()space()我观你伤势，虽是多处受伤，但伤口看起来似乎是特意避开了要害，并无性命之忧。此事甚是蹊跷，当务之急，还是先到附近采些草药，止止血。)</t>
    <phoneticPr fontId="17" type="noConversion"/>
  </si>
  <si>
    <t>npc:body(   space()space()space()大恩不言谢，如今我这伤势也算是控制住了。不好……我随身携带着一骨饰，乃我祖辈所传，意义非凡，此番却不翼而飞了，定是之前猎杀怒熊时所掉。)|player:body(   space()space()space()莫急，你伤势不轻，既是知道掉在何处，我去帮你寻来便是。)|npc:body(   space()space()space()那骨饰上有一特殊纹饰，一看便知，与我而言颇为珍重，麻烦勇士定要助我寻到它。)</t>
    <phoneticPr fontId="17" type="noConversion"/>
  </si>
  <si>
    <t>npc:body(   space()space()space()没错，就是此物！您的恩情，真是无以为报了。)|player:body(   space()space()space()你不必如此，与我而言，此乃举手之劳。只是这骨饰……我感觉，如今体内有一股力量，源源不断，又如脱缰野马般……)</t>
    <phoneticPr fontId="17" type="noConversion"/>
  </si>
  <si>
    <t xml:space="preserve">npc:body(   space()space()space()这草药效果甚好，勇士这般，可是前来平原村参加成人礼考验的？)|player:body(   space()space()space()确实，村中之人委实担忧你，军需官便命我出来寻你，幸好赶得及……)
</t>
    <phoneticPr fontId="17" type="noConversion"/>
  </si>
  <si>
    <t>npc:body(   space()space()space()多谢勇士出手相救。)|player:body(   space()space()space()实不相瞒，我受军需官所托，来寻你。)</t>
    <phoneticPr fontId="17" type="noConversion"/>
  </si>
  <si>
    <t>三七就在附近，仔细找找。</t>
    <phoneticPr fontId="17" type="noConversion"/>
  </si>
  <si>
    <t>击退围攻的野狗</t>
    <phoneticPr fontId="17" type="noConversion"/>
  </si>
  <si>
    <t>请速速帮我击退这些野狗！</t>
    <phoneticPr fontId="17" type="noConversion"/>
  </si>
  <si>
    <t>&lt;p&gt;
&lt;n&gt;击退围攻的&lt;/n&gt;
 &lt;n&gt; &lt;/n&gt;&lt;goto quick="1" id="10010" mapid="2" flagpoint="1" taskid="1013" /&gt;
&lt;/p&gt;</t>
    <phoneticPr fontId="17" type="noConversion"/>
  </si>
  <si>
    <t>&lt;p&gt;
&lt;n&gt;回复：&lt;/n&gt;
 &lt;n&gt; &lt;/n&gt;&lt;goto quick="1" id="10004" mapid="2" flagpoint="1" taskid="1013"/&gt;
&lt;/p&gt;</t>
    <phoneticPr fontId="17" type="noConversion"/>
  </si>
  <si>
    <t>&lt;p&gt;
&lt;n&gt;回复：&lt;/n&gt;
 &lt;n&gt; &lt;/n&gt;&lt;goto quick="1" id="10004" mapid="2" flagpoint="1" taskid="1014"/&gt;
&lt;/p&gt;</t>
    <phoneticPr fontId="17" type="noConversion"/>
  </si>
  <si>
    <t>&lt;p&gt;
&lt;n&gt;回复：&lt;/n&gt;
 &lt;n&gt; &lt;/n&gt;&lt;goto quick="1" id="10004" mapid="2" flagpoint="1" taskid="1015"/&gt;
&lt;/p&gt;</t>
    <phoneticPr fontId="17" type="noConversion"/>
  </si>
  <si>
    <t>到附近采集止血灵药三七。</t>
    <phoneticPr fontId="17" type="noConversion"/>
  </si>
  <si>
    <t>&lt;p&gt;
&lt;n&gt;  到附近采集止血灵药&lt;/n&gt;
 &lt;n&gt; &lt;/n&gt;&lt;goto quick="1" id="10011" mapid="2" flagpoint="1" taskid="1014" /&gt;
&lt;/p&gt;</t>
    <phoneticPr fontId="17" type="noConversion"/>
  </si>
  <si>
    <t>击败怒熊，寻回骨饰。</t>
    <phoneticPr fontId="17" type="noConversion"/>
  </si>
  <si>
    <t>&lt;p&gt;
&lt;n&gt;击败&lt;/n&gt;
 &lt;n&gt; &lt;/n&gt;&lt;goto quick="1" id="10012" mapid="2" flagpoint="1" taskid="1015" /&gt;
&lt;n&gt;寻回骨饰。&lt;/n&gt;
&lt;/p&gt;</t>
    <phoneticPr fontId="17" type="noConversion"/>
  </si>
  <si>
    <t>{s_taskKillNpc, {10004,10004,10012,1}}</t>
    <phoneticPr fontId="17" type="noConversion"/>
  </si>
  <si>
    <t>{s_taskKillNpc, {10004,10004,10010,5}}</t>
    <phoneticPr fontId="17" type="noConversion"/>
  </si>
  <si>
    <t>使用道具</t>
    <phoneticPr fontId="17" type="noConversion"/>
  </si>
  <si>
    <t>脱缰神力</t>
    <phoneticPr fontId="1" type="noConversion"/>
  </si>
  <si>
    <t>不治而愈</t>
    <phoneticPr fontId="1" type="noConversion"/>
  </si>
  <si>
    <t>参赛通牒</t>
    <phoneticPr fontId="1" type="noConversion"/>
  </si>
  <si>
    <t>巡路使</t>
    <phoneticPr fontId="17" type="noConversion"/>
  </si>
  <si>
    <t>圆满之礼</t>
    <phoneticPr fontId="1" type="noConversion"/>
  </si>
  <si>
    <t>军营危机</t>
    <phoneticPr fontId="1" type="noConversion"/>
  </si>
  <si>
    <t>华夏伊始</t>
    <phoneticPr fontId="1" type="noConversion"/>
  </si>
  <si>
    <t>title(华夏伊始)
body(hotyellow_3(任务进程:)newline()
   与goto(10005,2)交谈。
blankline()hotyellow_3(任务描述:)newline() 
space()space()space()巡路使十分赞赏你的能力及勇气，得知你的来意，二话不说，便将你送达华夏城，并为你引荐了武大将军。)</t>
    <phoneticPr fontId="17" type="noConversion"/>
  </si>
  <si>
    <t>npc:body(   space()space()space()天圣原的武大将军乃我多年挚交，关于天圣原的一切，你可寻他帮忙，不必与他客气。)|player:body(   space()space()space()如此，便多谢巡路使了！)</t>
    <phoneticPr fontId="17" type="noConversion"/>
  </si>
  <si>
    <t>前往天圣原，拜访武大将军。</t>
    <phoneticPr fontId="17" type="noConversion"/>
  </si>
  <si>
    <t>&lt;p&gt;
&lt;n&gt;  前往天圣原，拜访&lt;/n&gt;
 &lt;n&gt; &lt;/n&gt;&lt;goto quick="1" id="10005" mapid="2" flagpoint="1" taskid="1021" /&gt;
&lt;/p&gt;</t>
    <phoneticPr fontId="17" type="noConversion"/>
  </si>
  <si>
    <t>&lt;p&gt;
&lt;n&gt;回复：&lt;/n&gt;
 &lt;n&gt; &lt;/n&gt;&lt;goto quick="1" id="10005" mapid="2" flagpoint="1" taskid="1021"/&gt;
&lt;/p&gt;</t>
    <phoneticPr fontId="17" type="noConversion"/>
  </si>
  <si>
    <t>title(军营危机)
body(hotyellow_3(任务进程:)newline()
   击败goto(10013,2)并回复goto(10005,2)。
blankline()hotyellow_3(任务描述:)newline() 
space()space()space()当你到达军营时，发现军营正在遭受野兽袭击，巡路使根本无暇顾及你，希望你能先帮忙解除危机。)</t>
    <phoneticPr fontId="17" type="noConversion"/>
  </si>
  <si>
    <t>npc:body(   space()space()space()这军营近日不太太平，常有野兽奇袭，今日状况更甚，本官君命在身，不知你可否帮忙解除这眼前危机？)|player:body(   space()space()space()我既来了此处便不能袖手旁观！)</t>
    <phoneticPr fontId="17" type="noConversion"/>
  </si>
  <si>
    <t>npc:body(   space()space()space()果然年轻有为，你们部族定会以你为荣！)</t>
    <phoneticPr fontId="17" type="noConversion"/>
  </si>
  <si>
    <t>不知你可否帮忙解除这眼前危机？</t>
    <phoneticPr fontId="17" type="noConversion"/>
  </si>
  <si>
    <t>击败冷血黑熊，解除危机。</t>
    <phoneticPr fontId="17" type="noConversion"/>
  </si>
  <si>
    <t>&lt;p&gt;
&lt;n&gt;击败&lt;/n&gt;
 &lt;n&gt; &lt;/n&gt;&lt;goto quick="1" id="10013" mapid="2" flagpoint="1" taskid="1020" /&gt;
&lt;n&gt;，解除危机。&lt;/n&gt;
&lt;/p&gt;</t>
    <phoneticPr fontId="17" type="noConversion"/>
  </si>
  <si>
    <t>&lt;p&gt;
&lt;n&gt;回复：&lt;/n&gt;
 &lt;n&gt; &lt;/n&gt;&lt;goto quick="1" id="10005" mapid="2" flagpoint="1" taskid="1020"/&gt;
&lt;/p&gt;</t>
    <phoneticPr fontId="17" type="noConversion"/>
  </si>
  <si>
    <t>{s_taskKillNpc, {10005,10005,10013,5}}</t>
    <phoneticPr fontId="17" type="noConversion"/>
  </si>
  <si>
    <t>title(参赛通牒)
body(hotyellow_3(任务进程:)newline()
   与goto(10005,2)交谈。
blankline()hotyellow_3(任务描述:)newline() 
space()space()space()训练官竟是授予了你灵蕴赛会的参赛通牒，而同时，族长也希望你能前往昆仑参加灵蕴赛会，这是一场举国关注的大赛，一旦通过就有机会修习真正的仙法。前往昆仑路途遥远，此番可以先到华夏历练一番，巡路使可以助你一臂之力。)</t>
    <phoneticPr fontId="17" type="noConversion"/>
  </si>
  <si>
    <t>npc:body(   space()space()space()player(),此乃灵蕴大赛的参赛通牒。灵蕴赛会，乃一场举国关注之大赛，一旦通过，便有机会上昆仑之巅，修习真正的仙法。你们族长也希望你能前往昆仑参加大赛。)|player:body(   space()space()space()既如此，我这便启程前往昆仑。)|npc:body(   space()space()space()前往昆仑路途遥远，且你资历尚浅，不妨沿途多多历练，此番可以先去天圣原看看，你去寻寻巡路，让他带你走一遭。)</t>
    <phoneticPr fontId="17" type="noConversion"/>
  </si>
  <si>
    <t>npc:body(   space()space()space()来者定是训练官举荐之人吧！来的正好！)</t>
    <phoneticPr fontId="17" type="noConversion"/>
  </si>
  <si>
    <t>得知族长的希冀，寻找巡路使相助。</t>
    <phoneticPr fontId="17" type="noConversion"/>
  </si>
  <si>
    <t>&lt;p&gt;
&lt;n&gt;  得知族长的希冀，寻找&lt;/n&gt;
 &lt;n&gt; &lt;/n&gt;&lt;goto quick="1" id="10005" mapid="2" flagpoint="1" taskid="1019" /&gt;
&lt;n&gt;相助。&lt;/n&gt;
&lt;/p&gt;</t>
    <phoneticPr fontId="17" type="noConversion"/>
  </si>
  <si>
    <t>&lt;p&gt;
&lt;n&gt;回复：&lt;/n&gt;
 &lt;n&gt; &lt;/n&gt;&lt;goto quick="1" id="10005" mapid="2" flagpoint="1" taskid="1019"/&gt;
&lt;/p&gt;</t>
    <phoneticPr fontId="17" type="noConversion"/>
  </si>
  <si>
    <t>title(圆满之礼)
body(hotyellow_3(任务进程:)newline()
   与goto(10002,2)交谈。
blankline()hotyellow_3(任务描述:)newline() 
space()space()space()王甲一事，军需官已从你口中得知。此行所遇之事，出乎军需官的意料，不得不引起重视，但此事已不是你能插手。你的成人礼考验完满结束，训练官将会为你颁发凭证。)</t>
    <phoneticPr fontId="17" type="noConversion"/>
  </si>
  <si>
    <t>npc:body(   space()space()space()凶兽？不伤及性命？此事甚是蹊跷……对了，经过此行，你的成人礼考验已完满结束，训练官将会为你颁发凭证，你且去寻寻他。)</t>
    <phoneticPr fontId="17" type="noConversion"/>
  </si>
  <si>
    <t>npc:body(   space()space()space()这是灵蕴赛会的参赛通牒，可作为你入城的凭证，你且收好。)</t>
    <phoneticPr fontId="17" type="noConversion"/>
  </si>
  <si>
    <t>向训练官汇报考验结果。</t>
    <phoneticPr fontId="17" type="noConversion"/>
  </si>
  <si>
    <t>&lt;p&gt;
&lt;n&gt;回复：&lt;/n&gt;
 &lt;n&gt; &lt;/n&gt;&lt;goto quick="1" id="10002" mapid="2" flagpoint="1" taskid="1018"/&gt;
&lt;/p&gt;</t>
    <phoneticPr fontId="17" type="noConversion"/>
  </si>
  <si>
    <t>title(不治而愈)
body(hotyellow_3(任务进程:)newline()
   与goto(10003,2)交谈。
blankline()hotyellow_3(任务描述:)newline() 
space()space()space()由于神力触发，王甲的伤势竟不治而愈，他尚有事待办，便由你将他的情况告知军需官。)</t>
    <phoneticPr fontId="17" type="noConversion"/>
  </si>
  <si>
    <t>npc:body(   space()space()space()这神力真是强大，你看，我这伤势，竟都不治而愈了。如此的话，我需得将我的猎物收拾一番带回村，以防村中人太过担忧，便麻烦勇士先行一步，将我的情况转达给军需官及村中之人。)|player:body(   space()space()space()也好，那你需万事小心，早日归村。)</t>
    <phoneticPr fontId="17" type="noConversion"/>
  </si>
  <si>
    <t>npc:body(   space()space()space()来者何人？)|player:body(   space()space()space()在下从平原村来，经巡路使引荐，特来拜访武大将军。)</t>
    <phoneticPr fontId="17" type="noConversion"/>
  </si>
  <si>
    <t>npc:body(   space()space()space()可是寻到王甲？情况如何？)|player:body(   space()space()space()王甲确实在招魂台附近，那边凶兽突现，伤人之时专门避开要害，王甲如今已无大碍，不日定将归村。)</t>
    <phoneticPr fontId="17" type="noConversion"/>
  </si>
  <si>
    <t>请勇士相助！</t>
    <phoneticPr fontId="17" type="noConversion"/>
  </si>
  <si>
    <t>将王甲的情况转告军需官。</t>
    <phoneticPr fontId="17" type="noConversion"/>
  </si>
  <si>
    <t>&lt;p&gt;
&lt;n&gt;  将王甲的情况转告&lt;/n&gt;
 &lt;n&gt; &lt;/n&gt;&lt;goto quick="1" id="10003" mapid="2" flagpoint="1" taskid="1017" /&gt;
&lt;/p&gt;</t>
    <phoneticPr fontId="17" type="noConversion"/>
  </si>
  <si>
    <t>&lt;p&gt;
&lt;n&gt;回复：&lt;/n&gt;
 &lt;n&gt; &lt;/n&gt;&lt;goto quick="1" id="10003" mapid="2" flagpoint="1" taskid="1017"/&gt;
&lt;/p&gt;</t>
    <phoneticPr fontId="17" type="noConversion"/>
  </si>
  <si>
    <t>title(脱缰神力)
body(hotyellow_3(任务进程:)newline()
   与goto(10004,2)交谈。
blankline()hotyellow_3(任务描述:)newline() 
space()space()space()当你带回骨饰时，骨饰里似乎暗含着什么力量，引导着你体内的一股神力，如脱缰野马般在你体内涌现。王甲见此情况，显得十分激动，他向你提及骨饰的来历，原来那骨饰乃黄帝佩饰，传闻有神力附着在上面，一旦遇到有灵蕴神力之人就会被触发。王甲觉得你便是那命定之人，于是将骨饰赠予你。)</t>
    <phoneticPr fontId="17" type="noConversion"/>
  </si>
  <si>
    <t>npc:body(   space()space()space()这骨饰作此反应，定是如此，错不了的。不过你的灵力并不稳定，需多多历练才行。)</t>
    <phoneticPr fontId="17" type="noConversion"/>
  </si>
  <si>
    <t>莫非？！这骨饰，乃黄帝佩饰，传闻有神力附着在上面，一旦遇到有灵蕴神力之人就会被触发。你定是那命定之人，我们守护骨饰多年，就是为了有朝一日能将之给你！)|player:body(   space()space()space()你是说，我体内原先便有那灵蕴之力？)</t>
    <phoneticPr fontId="17" type="noConversion"/>
  </si>
  <si>
    <t>你便是那命定之人？！</t>
    <phoneticPr fontId="17" type="noConversion"/>
  </si>
  <si>
    <t>在王甲的指引下触发神力。</t>
    <phoneticPr fontId="17" type="noConversion"/>
  </si>
  <si>
    <t>&lt;p&gt;
&lt;n&gt;  向&lt;/n&gt;
 &lt;n&gt; &lt;/n&gt;&lt;goto quick="1" id="10002" mapid="2" flagpoint="1" taskid="1018" /&gt;
&lt;n&gt;汇报考验结果。&lt;/n&gt;
&lt;/p&gt;</t>
    <phoneticPr fontId="17" type="noConversion"/>
  </si>
  <si>
    <t>&lt;p&gt;
&lt;n&gt;  在&lt;/n&gt;
 &lt;n&gt; &lt;/n&gt;&lt;goto quick="1" id="10004" mapid="2" flagpoint="1" taskid="1016" /&gt;
&lt;n&gt;的指引下触发神力。&lt;/n&gt;
&lt;/p&gt;</t>
    <phoneticPr fontId="17" type="noConversion"/>
  </si>
  <si>
    <t>&lt;p&gt;
&lt;n&gt;回复：&lt;/n&gt;
 &lt;n&gt; &lt;/n&gt;&lt;goto quick="1" id="10004" mapid="2" flagpoint="1" taskid="1016"/&gt;
&lt;/p&gt;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</si>
</sst>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>
    <font>
      <sz val="11"/>
      <color theme="1"/>
      <name val="宋体"/>
      <charset val="134"/>
      <scheme val="minor"/>
    </font>
    <font>
      <sz val="9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1"/>
      <color rgb="FFFF000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14"/>
      <name val="宋体"/>
      <family val="3"/>
      <charset val="134"/>
    </font>
    <font>
      <sz val="12"/>
      <name val="宋体"/>
      <family val="3"/>
      <charset val="134"/>
    </font>
    <font>
      <sz val="11"/>
      <color rgb="FFFF0000"/>
      <name val="宋体"/>
      <family val="3"/>
      <charset val="134"/>
    </font>
    <font>
      <sz val="10"/>
      <color theme="1"/>
      <name val="微软雅黑"/>
      <family val="2"/>
      <charset val="134"/>
    </font>
    <font>
      <sz val="9"/>
      <color rgb="FFFF0000"/>
      <name val="宋体"/>
      <family val="3"/>
      <charset val="134"/>
    </font>
    <font>
      <sz val="11"/>
      <color rgb="FFFF0000"/>
      <name val="宋体"/>
      <family val="3"/>
      <charset val="134"/>
      <scheme val="minor"/>
    </font>
    <font>
      <sz val="11"/>
      <color rgb="FF92D050"/>
      <name val="宋体"/>
      <family val="3"/>
      <charset val="134"/>
    </font>
    <font>
      <sz val="11"/>
      <color rgb="FF92D050"/>
      <name val="宋体"/>
      <family val="3"/>
      <charset val="134"/>
      <scheme val="minor"/>
    </font>
    <font>
      <sz val="12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11"/>
      <name val="宋体"/>
      <family val="3"/>
      <charset val="134"/>
    </font>
    <font>
      <sz val="9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theme="6" tint="0.399884029663991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10">
    <xf numFmtId="0" fontId="0" fillId="0" borderId="0">
      <alignment vertical="center"/>
    </xf>
    <xf numFmtId="0" fontId="16" fillId="0" borderId="0">
      <alignment vertical="center"/>
    </xf>
    <xf numFmtId="0" fontId="8" fillId="0" borderId="0"/>
    <xf numFmtId="0" fontId="16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8" fillId="0" borderId="0"/>
    <xf numFmtId="0" fontId="8" fillId="0" borderId="0"/>
    <xf numFmtId="0" fontId="16" fillId="0" borderId="0">
      <alignment vertical="center"/>
    </xf>
    <xf numFmtId="0" fontId="8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Font="1">
      <alignment vertical="center"/>
    </xf>
    <xf numFmtId="0" fontId="1" fillId="2" borderId="0" xfId="0" applyFont="1" applyFill="1" applyAlignment="1">
      <alignment vertical="center" wrapText="1"/>
    </xf>
    <xf numFmtId="0" fontId="1" fillId="3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3" fillId="3" borderId="0" xfId="0" applyFont="1" applyFill="1" applyAlignment="1">
      <alignment vertical="center" wrapText="1"/>
    </xf>
    <xf numFmtId="0" fontId="3" fillId="3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2" fillId="0" borderId="0" xfId="0" applyFont="1" applyFill="1" applyAlignment="1">
      <alignment vertical="center"/>
    </xf>
    <xf numFmtId="0" fontId="4" fillId="3" borderId="0" xfId="0" applyFont="1" applyFill="1" applyAlignment="1">
      <alignment vertical="center"/>
    </xf>
    <xf numFmtId="0" fontId="3" fillId="2" borderId="1" xfId="0" applyFont="1" applyFill="1" applyBorder="1" applyAlignment="1">
      <alignment vertical="center" wrapText="1"/>
    </xf>
    <xf numFmtId="0" fontId="3" fillId="2" borderId="0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5" fillId="3" borderId="0" xfId="0" applyFont="1" applyFill="1" applyBorder="1" applyAlignment="1">
      <alignment vertical="center" wrapText="1"/>
    </xf>
    <xf numFmtId="0" fontId="5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vertical="center" wrapText="1"/>
    </xf>
    <xf numFmtId="0" fontId="5" fillId="3" borderId="0" xfId="0" applyFont="1" applyFill="1" applyAlignment="1">
      <alignment vertical="center" wrapText="1"/>
    </xf>
    <xf numFmtId="0" fontId="3" fillId="3" borderId="3" xfId="0" applyFont="1" applyFill="1" applyBorder="1" applyAlignment="1">
      <alignment horizontal="left" vertical="top" wrapText="1"/>
    </xf>
    <xf numFmtId="49" fontId="3" fillId="2" borderId="2" xfId="0" applyNumberFormat="1" applyFont="1" applyFill="1" applyBorder="1" applyAlignment="1">
      <alignment vertical="center" wrapText="1"/>
    </xf>
    <xf numFmtId="0" fontId="3" fillId="2" borderId="2" xfId="0" applyFont="1" applyFill="1" applyBorder="1" applyAlignment="1">
      <alignment vertical="center" wrapText="1"/>
    </xf>
    <xf numFmtId="0" fontId="3" fillId="3" borderId="3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0" fontId="3" fillId="4" borderId="0" xfId="0" applyFont="1" applyFill="1" applyAlignment="1">
      <alignment vertical="center" wrapText="1"/>
    </xf>
    <xf numFmtId="0" fontId="3" fillId="4" borderId="0" xfId="0" applyFont="1" applyFill="1" applyBorder="1" applyAlignment="1">
      <alignment vertical="center" wrapText="1"/>
    </xf>
    <xf numFmtId="0" fontId="6" fillId="3" borderId="3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 wrapText="1"/>
    </xf>
    <xf numFmtId="0" fontId="3" fillId="5" borderId="0" xfId="0" applyFont="1" applyFill="1" applyAlignment="1">
      <alignment vertical="center" wrapText="1"/>
    </xf>
    <xf numFmtId="0" fontId="0" fillId="3" borderId="0" xfId="0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0" fontId="0" fillId="4" borderId="0" xfId="0" applyFont="1" applyFill="1" applyBorder="1" applyAlignment="1">
      <alignment vertical="center" wrapText="1"/>
    </xf>
    <xf numFmtId="0" fontId="0" fillId="4" borderId="0" xfId="0" applyFont="1" applyFill="1" applyBorder="1" applyAlignment="1">
      <alignment vertical="center"/>
    </xf>
    <xf numFmtId="0" fontId="0" fillId="3" borderId="0" xfId="0" applyFont="1" applyFill="1" applyBorder="1" applyAlignment="1">
      <alignment vertical="center" wrapText="1"/>
    </xf>
    <xf numFmtId="0" fontId="8" fillId="0" borderId="0" xfId="0" applyFont="1" applyAlignment="1">
      <alignment vertical="center"/>
    </xf>
    <xf numFmtId="0" fontId="8" fillId="0" borderId="0" xfId="0" applyFont="1">
      <alignment vertical="center"/>
    </xf>
    <xf numFmtId="0" fontId="0" fillId="6" borderId="0" xfId="0" applyFill="1">
      <alignment vertical="center"/>
    </xf>
    <xf numFmtId="0" fontId="8" fillId="6" borderId="0" xfId="0" applyFont="1" applyFill="1">
      <alignment vertical="center"/>
    </xf>
    <xf numFmtId="0" fontId="3" fillId="7" borderId="0" xfId="0" applyFont="1" applyFill="1" applyAlignment="1">
      <alignment vertical="center" wrapText="1"/>
    </xf>
    <xf numFmtId="0" fontId="3" fillId="7" borderId="3" xfId="0" applyFont="1" applyFill="1" applyBorder="1" applyAlignment="1">
      <alignment horizontal="left" vertical="top" wrapText="1"/>
    </xf>
    <xf numFmtId="0" fontId="4" fillId="8" borderId="0" xfId="0" applyFont="1" applyFill="1" applyBorder="1" applyAlignment="1">
      <alignment vertical="center"/>
    </xf>
    <xf numFmtId="0" fontId="3" fillId="8" borderId="3" xfId="0" applyFont="1" applyFill="1" applyBorder="1" applyAlignment="1">
      <alignment horizontal="left" vertical="top" wrapText="1"/>
    </xf>
    <xf numFmtId="0" fontId="3" fillId="8" borderId="0" xfId="0" applyFont="1" applyFill="1" applyAlignment="1">
      <alignment vertical="center" wrapText="1"/>
    </xf>
    <xf numFmtId="0" fontId="9" fillId="3" borderId="0" xfId="0" applyFont="1" applyFill="1" applyAlignment="1">
      <alignment vertical="center" wrapText="1"/>
    </xf>
    <xf numFmtId="0" fontId="9" fillId="3" borderId="3" xfId="0" applyFont="1" applyFill="1" applyBorder="1" applyAlignment="1">
      <alignment horizontal="left" vertical="top" wrapText="1"/>
    </xf>
    <xf numFmtId="0" fontId="3" fillId="5" borderId="3" xfId="0" applyFont="1" applyFill="1" applyBorder="1" applyAlignment="1">
      <alignment horizontal="left" vertical="top" wrapText="1"/>
    </xf>
    <xf numFmtId="0" fontId="3" fillId="3" borderId="4" xfId="0" applyFont="1" applyFill="1" applyBorder="1" applyAlignment="1">
      <alignment vertical="center" wrapText="1"/>
    </xf>
    <xf numFmtId="0" fontId="3" fillId="3" borderId="5" xfId="0" applyFont="1" applyFill="1" applyBorder="1" applyAlignment="1">
      <alignment horizontal="left" vertical="top" wrapText="1"/>
    </xf>
    <xf numFmtId="0" fontId="10" fillId="0" borderId="0" xfId="0" applyFont="1" applyAlignment="1">
      <alignment horizontal="center" vertical="center"/>
    </xf>
    <xf numFmtId="0" fontId="8" fillId="0" borderId="0" xfId="2"/>
    <xf numFmtId="0" fontId="8" fillId="0" borderId="0" xfId="7"/>
    <xf numFmtId="0" fontId="8" fillId="0" borderId="0" xfId="7" applyAlignment="1">
      <alignment shrinkToFit="1"/>
    </xf>
    <xf numFmtId="0" fontId="8" fillId="0" borderId="0" xfId="7" applyAlignment="1">
      <alignment wrapText="1"/>
    </xf>
    <xf numFmtId="0" fontId="8" fillId="8" borderId="0" xfId="7" applyFill="1" applyAlignment="1">
      <alignment wrapText="1"/>
    </xf>
    <xf numFmtId="0" fontId="1" fillId="9" borderId="0" xfId="0" applyFont="1" applyFill="1" applyAlignment="1">
      <alignment vertical="center" wrapText="1"/>
    </xf>
    <xf numFmtId="0" fontId="16" fillId="9" borderId="0" xfId="4" applyFill="1" applyAlignment="1">
      <alignment horizontal="center" vertical="center" wrapText="1"/>
    </xf>
    <xf numFmtId="0" fontId="11" fillId="9" borderId="0" xfId="0" applyFont="1" applyFill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 applyAlignment="1">
      <alignment vertical="center" wrapText="1"/>
    </xf>
    <xf numFmtId="0" fontId="0" fillId="9" borderId="0" xfId="0" applyFill="1">
      <alignment vertical="center"/>
    </xf>
    <xf numFmtId="0" fontId="2" fillId="9" borderId="0" xfId="0" applyFont="1" applyFill="1" applyAlignment="1">
      <alignment vertical="center" wrapText="1"/>
    </xf>
    <xf numFmtId="0" fontId="3" fillId="9" borderId="0" xfId="0" applyFon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10" borderId="0" xfId="4" applyFont="1" applyFill="1" applyAlignment="1">
      <alignment vertical="center" wrapText="1"/>
    </xf>
    <xf numFmtId="0" fontId="0" fillId="9" borderId="0" xfId="0" applyFont="1" applyFill="1" applyAlignment="1">
      <alignment horizontal="center" vertical="center" wrapText="1"/>
    </xf>
    <xf numFmtId="0" fontId="16" fillId="9" borderId="0" xfId="4" applyFill="1" applyAlignment="1">
      <alignment vertical="center" wrapText="1"/>
    </xf>
    <xf numFmtId="0" fontId="12" fillId="9" borderId="0" xfId="4" applyFont="1" applyFill="1" applyAlignment="1">
      <alignment vertical="center" wrapText="1"/>
    </xf>
    <xf numFmtId="0" fontId="12" fillId="9" borderId="0" xfId="0" applyFont="1" applyFill="1" applyAlignment="1">
      <alignment horizontal="center" vertical="center" wrapText="1"/>
    </xf>
    <xf numFmtId="0" fontId="9" fillId="9" borderId="0" xfId="0" applyFont="1" applyFill="1" applyAlignment="1">
      <alignment vertical="center" wrapText="1"/>
    </xf>
    <xf numFmtId="0" fontId="13" fillId="9" borderId="0" xfId="0" applyFont="1" applyFill="1" applyAlignment="1">
      <alignment vertical="center" wrapText="1"/>
    </xf>
    <xf numFmtId="0" fontId="14" fillId="9" borderId="0" xfId="0" applyFont="1" applyFill="1" applyAlignment="1">
      <alignment horizontal="center" vertical="center" wrapText="1"/>
    </xf>
    <xf numFmtId="0" fontId="0" fillId="9" borderId="0" xfId="0" applyFill="1" applyAlignment="1">
      <alignment horizontal="center" vertical="center" wrapText="1"/>
    </xf>
    <xf numFmtId="0" fontId="0" fillId="9" borderId="0" xfId="4" applyFont="1" applyFill="1" applyAlignment="1">
      <alignment vertical="center" wrapText="1"/>
    </xf>
    <xf numFmtId="0" fontId="3" fillId="9" borderId="1" xfId="0" applyFont="1" applyFill="1" applyBorder="1" applyAlignment="1">
      <alignment vertical="center" wrapText="1"/>
    </xf>
    <xf numFmtId="0" fontId="3" fillId="9" borderId="0" xfId="0" applyFont="1" applyFill="1" applyBorder="1" applyAlignment="1">
      <alignment vertical="center" wrapText="1"/>
    </xf>
    <xf numFmtId="0" fontId="5" fillId="9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8" fillId="9" borderId="0" xfId="0" applyFont="1" applyFill="1" applyBorder="1" applyAlignment="1">
      <alignment horizontal="center" vertical="center"/>
    </xf>
    <xf numFmtId="0" fontId="8" fillId="9" borderId="0" xfId="0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horizontal="center" vertical="center"/>
    </xf>
    <xf numFmtId="0" fontId="15" fillId="9" borderId="0" xfId="0" applyFont="1" applyFill="1" applyBorder="1" applyAlignment="1">
      <alignment horizontal="center" vertical="center" wrapText="1"/>
    </xf>
    <xf numFmtId="0" fontId="9" fillId="9" borderId="0" xfId="0" applyFont="1" applyFill="1" applyBorder="1" applyAlignment="1">
      <alignment vertical="center" wrapText="1"/>
    </xf>
    <xf numFmtId="0" fontId="8" fillId="9" borderId="0" xfId="0" applyFont="1" applyFill="1" applyBorder="1">
      <alignment vertical="center"/>
    </xf>
    <xf numFmtId="0" fontId="16" fillId="9" borderId="0" xfId="4" applyFill="1">
      <alignment vertical="center"/>
    </xf>
    <xf numFmtId="0" fontId="8" fillId="9" borderId="0" xfId="0" applyFont="1" applyFill="1" applyBorder="1" applyAlignment="1">
      <alignment vertical="center"/>
    </xf>
    <xf numFmtId="0" fontId="8" fillId="9" borderId="0" xfId="0" applyFont="1" applyFill="1" applyBorder="1" applyAlignment="1">
      <alignment vertical="center" wrapText="1"/>
    </xf>
    <xf numFmtId="0" fontId="5" fillId="9" borderId="1" xfId="0" applyFont="1" applyFill="1" applyBorder="1" applyAlignment="1">
      <alignment vertical="center" wrapText="1"/>
    </xf>
    <xf numFmtId="0" fontId="3" fillId="9" borderId="2" xfId="0" applyFont="1" applyFill="1" applyBorder="1" applyAlignment="1">
      <alignment horizontal="left" vertical="top" wrapText="1"/>
    </xf>
    <xf numFmtId="0" fontId="0" fillId="8" borderId="0" xfId="0" applyFill="1" applyAlignment="1"/>
    <xf numFmtId="0" fontId="5" fillId="9" borderId="0" xfId="0" applyFont="1" applyFill="1" applyAlignment="1">
      <alignment vertical="center" wrapText="1"/>
    </xf>
    <xf numFmtId="0" fontId="0" fillId="9" borderId="0" xfId="0" applyFill="1" applyAlignment="1"/>
    <xf numFmtId="0" fontId="15" fillId="9" borderId="0" xfId="0" applyFont="1" applyFill="1" applyBorder="1">
      <alignment vertical="center"/>
    </xf>
    <xf numFmtId="0" fontId="12" fillId="9" borderId="0" xfId="0" applyFont="1" applyFill="1" applyAlignment="1"/>
    <xf numFmtId="49" fontId="3" fillId="9" borderId="2" xfId="0" applyNumberFormat="1" applyFont="1" applyFill="1" applyBorder="1" applyAlignment="1">
      <alignment vertical="center" wrapText="1"/>
    </xf>
    <xf numFmtId="0" fontId="3" fillId="9" borderId="2" xfId="0" applyFont="1" applyFill="1" applyBorder="1" applyAlignment="1">
      <alignment vertical="center" wrapText="1"/>
    </xf>
    <xf numFmtId="0" fontId="3" fillId="9" borderId="0" xfId="0" applyFont="1" applyFill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9" borderId="3" xfId="0" applyFont="1" applyFill="1" applyBorder="1" applyAlignment="1">
      <alignment vertical="center" wrapText="1"/>
    </xf>
    <xf numFmtId="0" fontId="7" fillId="9" borderId="0" xfId="0" applyFont="1" applyFill="1" applyAlignment="1">
      <alignment vertical="center" wrapText="1"/>
    </xf>
    <xf numFmtId="0" fontId="8" fillId="9" borderId="0" xfId="0" applyFont="1" applyFill="1" applyAlignment="1">
      <alignment horizontal="center" vertical="center" wrapText="1"/>
    </xf>
    <xf numFmtId="0" fontId="0" fillId="9" borderId="1" xfId="0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6" fillId="9" borderId="0" xfId="0" applyFont="1" applyFill="1" applyBorder="1" applyAlignment="1">
      <alignment vertical="center"/>
    </xf>
    <xf numFmtId="0" fontId="6" fillId="9" borderId="1" xfId="0" applyFont="1" applyFill="1" applyBorder="1" applyAlignment="1">
      <alignment vertical="center"/>
    </xf>
    <xf numFmtId="0" fontId="0" fillId="9" borderId="3" xfId="0" applyFill="1" applyBorder="1" applyAlignment="1">
      <alignment horizontal="left" vertical="top"/>
    </xf>
    <xf numFmtId="0" fontId="0" fillId="9" borderId="3" xfId="0" applyFill="1" applyBorder="1" applyAlignment="1">
      <alignment vertical="center"/>
    </xf>
    <xf numFmtId="0" fontId="2" fillId="9" borderId="0" xfId="3" applyFont="1" applyFill="1" applyAlignment="1">
      <alignment vertical="center" wrapText="1"/>
    </xf>
    <xf numFmtId="0" fontId="3" fillId="9" borderId="0" xfId="3" applyFont="1" applyFill="1" applyAlignment="1">
      <alignment vertical="center" wrapText="1"/>
    </xf>
    <xf numFmtId="0" fontId="3" fillId="9" borderId="1" xfId="3" applyFont="1" applyFill="1" applyBorder="1" applyAlignment="1">
      <alignment vertical="center" wrapText="1"/>
    </xf>
    <xf numFmtId="0" fontId="3" fillId="9" borderId="0" xfId="3" applyFont="1" applyFill="1" applyBorder="1" applyAlignment="1">
      <alignment vertical="center" wrapText="1"/>
    </xf>
    <xf numFmtId="0" fontId="5" fillId="9" borderId="0" xfId="3" applyFont="1" applyFill="1" applyBorder="1" applyAlignment="1">
      <alignment vertical="center" wrapText="1"/>
    </xf>
    <xf numFmtId="0" fontId="0" fillId="9" borderId="0" xfId="0" applyFont="1" applyFill="1" applyBorder="1">
      <alignment vertical="center"/>
    </xf>
    <xf numFmtId="0" fontId="3" fillId="9" borderId="3" xfId="0" applyFont="1" applyFill="1" applyBorder="1" applyAlignment="1">
      <alignment horizontal="left" vertical="top" wrapText="1"/>
    </xf>
    <xf numFmtId="0" fontId="5" fillId="9" borderId="1" xfId="3" applyFont="1" applyFill="1" applyBorder="1" applyAlignment="1">
      <alignment vertical="center" wrapText="1"/>
    </xf>
    <xf numFmtId="0" fontId="3" fillId="9" borderId="3" xfId="3" applyFont="1" applyFill="1" applyBorder="1" applyAlignment="1">
      <alignment horizontal="left" vertical="top" wrapText="1"/>
    </xf>
    <xf numFmtId="0" fontId="3" fillId="9" borderId="3" xfId="0" applyFont="1" applyFill="1" applyBorder="1" applyAlignment="1">
      <alignment vertical="center" wrapText="1"/>
    </xf>
    <xf numFmtId="0" fontId="3" fillId="9" borderId="3" xfId="3" applyFont="1" applyFill="1" applyBorder="1" applyAlignment="1">
      <alignment vertical="center" wrapText="1"/>
    </xf>
    <xf numFmtId="0" fontId="0" fillId="9" borderId="0" xfId="4" applyFont="1" applyFill="1" applyAlignment="1">
      <alignment horizontal="center" vertical="center" wrapText="1"/>
    </xf>
    <xf numFmtId="0" fontId="7" fillId="9" borderId="0" xfId="3" applyFont="1" applyFill="1" applyAlignment="1">
      <alignment vertical="center" wrapText="1"/>
    </xf>
    <xf numFmtId="0" fontId="18" fillId="9" borderId="0" xfId="0" applyFont="1" applyFill="1" applyAlignment="1">
      <alignment vertical="center" wrapText="1"/>
    </xf>
    <xf numFmtId="0" fontId="18" fillId="9" borderId="0" xfId="0" applyFont="1" applyFill="1" applyAlignment="1">
      <alignment horizontal="center" vertical="center" wrapText="1"/>
    </xf>
    <xf numFmtId="0" fontId="20" fillId="9" borderId="0" xfId="0" applyFont="1" applyFill="1" applyAlignment="1">
      <alignment horizontal="center" vertical="center" wrapText="1"/>
    </xf>
    <xf numFmtId="0" fontId="21" fillId="9" borderId="0" xfId="0" applyFont="1" applyFill="1" applyAlignment="1">
      <alignment horizontal="center" vertical="center" wrapText="1"/>
    </xf>
    <xf numFmtId="0" fontId="21" fillId="9" borderId="0" xfId="4" applyFont="1" applyFill="1" applyAlignment="1">
      <alignment vertical="center" wrapText="1"/>
    </xf>
    <xf numFmtId="0" fontId="22" fillId="9" borderId="0" xfId="0" applyFont="1" applyFill="1" applyBorder="1" applyAlignment="1">
      <alignment horizontal="center" vertical="center"/>
    </xf>
    <xf numFmtId="0" fontId="22" fillId="9" borderId="0" xfId="0" applyFont="1" applyFill="1" applyBorder="1" applyAlignment="1">
      <alignment horizontal="center" vertical="center" wrapText="1"/>
    </xf>
    <xf numFmtId="0" fontId="18" fillId="9" borderId="0" xfId="0" applyFont="1" applyFill="1" applyBorder="1" applyAlignment="1">
      <alignment vertical="center" wrapText="1"/>
    </xf>
    <xf numFmtId="0" fontId="23" fillId="9" borderId="0" xfId="0" applyFont="1" applyFill="1" applyBorder="1" applyAlignment="1">
      <alignment vertical="center" wrapText="1"/>
    </xf>
    <xf numFmtId="0" fontId="23" fillId="9" borderId="1" xfId="0" applyFont="1" applyFill="1" applyBorder="1" applyAlignment="1">
      <alignment vertical="center" wrapText="1"/>
    </xf>
    <xf numFmtId="0" fontId="23" fillId="9" borderId="0" xfId="0" applyFont="1" applyFill="1" applyAlignment="1">
      <alignment vertical="center" wrapText="1"/>
    </xf>
    <xf numFmtId="0" fontId="21" fillId="9" borderId="0" xfId="0" applyFont="1" applyFill="1" applyAlignment="1"/>
    <xf numFmtId="0" fontId="23" fillId="9" borderId="3" xfId="0" applyFont="1" applyFill="1" applyBorder="1" applyAlignment="1">
      <alignment vertical="center" wrapText="1"/>
    </xf>
    <xf numFmtId="0" fontId="24" fillId="9" borderId="0" xfId="0" applyFont="1" applyFill="1" applyAlignment="1">
      <alignment vertical="center" wrapText="1"/>
    </xf>
    <xf numFmtId="0" fontId="21" fillId="9" borderId="0" xfId="0" applyFont="1" applyFill="1" applyAlignment="1">
      <alignment wrapText="1"/>
    </xf>
    <xf numFmtId="0" fontId="20" fillId="9" borderId="0" xfId="4" applyFont="1" applyFill="1" applyAlignment="1">
      <alignment vertical="center" wrapText="1"/>
    </xf>
    <xf numFmtId="0" fontId="22" fillId="9" borderId="0" xfId="0" applyFont="1" applyFill="1" applyBorder="1">
      <alignment vertical="center"/>
    </xf>
    <xf numFmtId="0" fontId="16" fillId="9" borderId="0" xfId="0" applyFont="1" applyFill="1" applyAlignment="1">
      <alignment horizontal="center" vertical="center" wrapText="1"/>
    </xf>
    <xf numFmtId="0" fontId="2" fillId="10" borderId="0" xfId="4" applyFont="1" applyFill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6" fillId="0" borderId="0" xfId="0" applyFont="1" applyFill="1" applyBorder="1" applyAlignment="1">
      <alignment vertical="center" wrapText="1"/>
    </xf>
    <xf numFmtId="0" fontId="16" fillId="9" borderId="0" xfId="4" applyFont="1" applyFill="1" applyAlignment="1">
      <alignment vertical="center" wrapText="1"/>
    </xf>
  </cellXfs>
  <cellStyles count="10">
    <cellStyle name="常规" xfId="0" builtinId="0"/>
    <cellStyle name="常规 2" xfId="4"/>
    <cellStyle name="常规 2 2" xfId="2"/>
    <cellStyle name="常规 2 3" xfId="3"/>
    <cellStyle name="常规 2 4" xfId="5"/>
    <cellStyle name="常规 2 5" xfId="9"/>
    <cellStyle name="常规 3" xfId="6"/>
    <cellStyle name="常规 4" xfId="7"/>
    <cellStyle name="常规 5" xfId="8"/>
    <cellStyle name="常规 6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177"/>
  <sheetViews>
    <sheetView tabSelected="1" workbookViewId="0">
      <pane xSplit="3" ySplit="1" topLeftCell="D30" activePane="bottomRight" state="frozen"/>
      <selection pane="topRight" activeCell="D1" sqref="D1"/>
      <selection pane="bottomLeft" activeCell="A2" sqref="A2"/>
      <selection pane="bottomRight" activeCell="AL30" sqref="AL30"/>
    </sheetView>
  </sheetViews>
  <sheetFormatPr defaultColWidth="9" defaultRowHeight="120" customHeight="1"/>
  <cols>
    <col min="1" max="27" width="9" style="65"/>
    <col min="28" max="28" width="26.75" style="65" customWidth="1"/>
    <col min="29" max="29" width="9" style="65"/>
    <col min="30" max="30" width="35" style="65" customWidth="1"/>
    <col min="31" max="31" width="35.625" style="65" customWidth="1"/>
    <col min="32" max="32" width="30.125" style="65" customWidth="1"/>
    <col min="33" max="33" width="9" style="65"/>
    <col min="34" max="34" width="23.625" style="65" customWidth="1"/>
    <col min="35" max="36" width="9" style="65"/>
    <col min="37" max="37" width="32" style="65" customWidth="1"/>
    <col min="38" max="38" width="23.625" style="65" customWidth="1"/>
    <col min="39" max="39" width="11.25" style="65" customWidth="1"/>
    <col min="40" max="45" width="9" style="65"/>
    <col min="46" max="46" width="34.125" style="65" customWidth="1"/>
    <col min="47" max="16384" width="9" style="65"/>
  </cols>
  <sheetData>
    <row r="1" spans="1:46" s="60" customFormat="1" ht="120" customHeight="1">
      <c r="A1" s="66" t="s">
        <v>0</v>
      </c>
      <c r="B1" s="67" t="s">
        <v>1</v>
      </c>
      <c r="C1" s="67" t="s">
        <v>2</v>
      </c>
      <c r="D1" s="67" t="s">
        <v>3</v>
      </c>
      <c r="E1" s="67" t="s">
        <v>4</v>
      </c>
      <c r="F1" s="67" t="s">
        <v>5</v>
      </c>
      <c r="G1" s="67" t="s">
        <v>6</v>
      </c>
      <c r="H1" s="67" t="s">
        <v>7</v>
      </c>
      <c r="I1" s="67" t="s">
        <v>8</v>
      </c>
      <c r="J1" s="79" t="s">
        <v>9</v>
      </c>
      <c r="K1" s="80" t="s">
        <v>10</v>
      </c>
      <c r="L1" s="80" t="s">
        <v>11</v>
      </c>
      <c r="M1" s="80" t="s">
        <v>12</v>
      </c>
      <c r="N1" s="80" t="s">
        <v>13</v>
      </c>
      <c r="O1" s="81" t="s">
        <v>14</v>
      </c>
      <c r="P1" s="81" t="s">
        <v>15</v>
      </c>
      <c r="Q1" s="81" t="s">
        <v>16</v>
      </c>
      <c r="R1" s="93" t="s">
        <v>17</v>
      </c>
      <c r="S1" s="67" t="s">
        <v>18</v>
      </c>
      <c r="T1" s="67" t="s">
        <v>19</v>
      </c>
      <c r="U1" s="67" t="s">
        <v>20</v>
      </c>
      <c r="V1" s="67" t="s">
        <v>21</v>
      </c>
      <c r="W1" s="67" t="s">
        <v>22</v>
      </c>
      <c r="X1" s="94" t="s">
        <v>23</v>
      </c>
      <c r="Y1" s="67" t="s">
        <v>24</v>
      </c>
      <c r="Z1" s="100" t="s">
        <v>25</v>
      </c>
      <c r="AA1" s="101" t="s">
        <v>26</v>
      </c>
      <c r="AB1" s="67" t="s">
        <v>322</v>
      </c>
      <c r="AC1" s="67" t="s">
        <v>28</v>
      </c>
      <c r="AD1" s="102" t="s">
        <v>29</v>
      </c>
      <c r="AE1" s="67" t="s">
        <v>30</v>
      </c>
      <c r="AF1" s="67" t="s">
        <v>31</v>
      </c>
      <c r="AG1" s="67" t="s">
        <v>32</v>
      </c>
      <c r="AH1" s="102" t="s">
        <v>33</v>
      </c>
      <c r="AI1" s="67" t="s">
        <v>34</v>
      </c>
      <c r="AJ1" s="67" t="s">
        <v>35</v>
      </c>
      <c r="AK1" s="67" t="s">
        <v>36</v>
      </c>
      <c r="AL1" s="67" t="s">
        <v>37</v>
      </c>
      <c r="AM1" s="67" t="s">
        <v>38</v>
      </c>
      <c r="AN1" s="67" t="s">
        <v>39</v>
      </c>
      <c r="AO1" s="67" t="s">
        <v>40</v>
      </c>
      <c r="AP1" s="67" t="s">
        <v>41</v>
      </c>
      <c r="AQ1" s="67" t="s">
        <v>42</v>
      </c>
      <c r="AR1" s="67" t="s">
        <v>43</v>
      </c>
      <c r="AS1" s="67" t="s">
        <v>44</v>
      </c>
      <c r="AT1" s="60" t="s">
        <v>45</v>
      </c>
    </row>
    <row r="2" spans="1:46" s="3" customFormat="1" ht="120" customHeight="1">
      <c r="A2" s="4">
        <v>3001</v>
      </c>
      <c r="B2" s="68" t="s">
        <v>46</v>
      </c>
      <c r="C2" s="68" t="s">
        <v>47</v>
      </c>
      <c r="D2" s="6">
        <v>1</v>
      </c>
      <c r="E2" s="6">
        <v>1</v>
      </c>
      <c r="F2" s="69">
        <v>1</v>
      </c>
      <c r="G2" s="6">
        <v>200</v>
      </c>
      <c r="H2" s="6">
        <v>0</v>
      </c>
      <c r="I2" s="6">
        <v>0</v>
      </c>
      <c r="J2" s="82">
        <v>101</v>
      </c>
      <c r="K2" s="7" t="s">
        <v>48</v>
      </c>
      <c r="L2" s="82">
        <v>102</v>
      </c>
      <c r="M2" s="83" t="s">
        <v>49</v>
      </c>
      <c r="N2" s="7"/>
      <c r="O2" s="15"/>
      <c r="P2" s="15"/>
      <c r="Q2" s="15"/>
      <c r="R2" s="18"/>
      <c r="S2" s="6">
        <v>1</v>
      </c>
      <c r="T2" s="6">
        <v>1</v>
      </c>
      <c r="U2" s="19"/>
      <c r="V2" s="6"/>
      <c r="W2" s="6"/>
      <c r="X2" s="95">
        <v>100</v>
      </c>
      <c r="Y2" s="24">
        <v>50</v>
      </c>
      <c r="Z2" s="24">
        <v>50</v>
      </c>
      <c r="AA2" s="24">
        <v>50</v>
      </c>
      <c r="AB2" s="6"/>
      <c r="AC2" s="6"/>
      <c r="AD2" s="69" t="s">
        <v>50</v>
      </c>
      <c r="AE2" s="68"/>
      <c r="AF2" s="103" t="s">
        <v>51</v>
      </c>
      <c r="AG2" s="68"/>
      <c r="AH2" s="69" t="s">
        <v>52</v>
      </c>
      <c r="AI2" s="69"/>
      <c r="AJ2" s="69"/>
      <c r="AK2" s="144" t="s">
        <v>326</v>
      </c>
      <c r="AL2" s="69" t="s">
        <v>53</v>
      </c>
      <c r="AM2" s="69"/>
      <c r="AN2" s="69">
        <v>1</v>
      </c>
      <c r="AO2" s="69">
        <v>0</v>
      </c>
      <c r="AP2" s="69">
        <v>1</v>
      </c>
      <c r="AQ2" s="69">
        <v>1</v>
      </c>
      <c r="AR2" s="69">
        <v>0</v>
      </c>
      <c r="AS2" s="69">
        <v>0</v>
      </c>
      <c r="AT2" s="69" t="str">
        <f>"{s_taskTalk,{"&amp;J2&amp;","&amp;L2&amp;"}}"</f>
        <v>{s_taskTalk,{101,102}}</v>
      </c>
    </row>
    <row r="3" spans="1:46" s="60" customFormat="1" ht="120" customHeight="1">
      <c r="A3" s="66">
        <v>3002</v>
      </c>
      <c r="B3" s="67" t="s">
        <v>54</v>
      </c>
      <c r="C3" s="70" t="s">
        <v>55</v>
      </c>
      <c r="D3" s="67">
        <v>1</v>
      </c>
      <c r="E3" s="67">
        <v>1</v>
      </c>
      <c r="F3" s="71">
        <v>1</v>
      </c>
      <c r="G3" s="67">
        <v>200</v>
      </c>
      <c r="H3" s="67">
        <v>3001</v>
      </c>
      <c r="I3" s="67">
        <v>0</v>
      </c>
      <c r="J3" s="84">
        <v>103</v>
      </c>
      <c r="K3" s="85" t="s">
        <v>56</v>
      </c>
      <c r="L3" s="84">
        <v>104</v>
      </c>
      <c r="M3" s="85" t="s">
        <v>57</v>
      </c>
      <c r="N3" s="80"/>
      <c r="O3" s="71"/>
      <c r="P3" s="81"/>
      <c r="Q3" s="81"/>
      <c r="R3" s="93"/>
      <c r="S3" s="67">
        <v>1</v>
      </c>
      <c r="T3" s="67">
        <v>1</v>
      </c>
      <c r="U3" s="96"/>
      <c r="V3" s="67"/>
      <c r="W3" s="67"/>
      <c r="X3" s="97">
        <v>200</v>
      </c>
      <c r="Y3" s="104">
        <v>50</v>
      </c>
      <c r="Z3" s="104">
        <v>50</v>
      </c>
      <c r="AA3" s="104">
        <v>50</v>
      </c>
      <c r="AB3" s="67"/>
      <c r="AC3" s="67"/>
      <c r="AD3" s="78" t="s">
        <v>58</v>
      </c>
      <c r="AE3" s="70" t="s">
        <v>59</v>
      </c>
      <c r="AF3" s="70" t="s">
        <v>60</v>
      </c>
      <c r="AG3" s="77"/>
      <c r="AH3" s="78" t="s">
        <v>61</v>
      </c>
      <c r="AI3" s="71"/>
      <c r="AJ3" s="71"/>
      <c r="AK3" s="78" t="s">
        <v>62</v>
      </c>
      <c r="AL3" s="78" t="s">
        <v>63</v>
      </c>
      <c r="AM3" s="71"/>
      <c r="AN3" s="71">
        <v>1</v>
      </c>
      <c r="AO3" s="71">
        <v>0</v>
      </c>
      <c r="AP3" s="71">
        <v>1</v>
      </c>
      <c r="AQ3" s="71">
        <v>1</v>
      </c>
      <c r="AR3" s="71">
        <v>0</v>
      </c>
      <c r="AS3" s="71">
        <v>0</v>
      </c>
      <c r="AT3" s="71" t="str">
        <f t="shared" ref="AT3:AT11" si="0">"{s_taskTalk,{"&amp;J3&amp;","&amp;L3&amp;"}}"</f>
        <v>{s_taskTalk,{103,104}}</v>
      </c>
    </row>
    <row r="4" spans="1:46" s="61" customFormat="1" ht="120" customHeight="1">
      <c r="A4" s="66">
        <v>3003</v>
      </c>
      <c r="B4" s="70" t="s">
        <v>54</v>
      </c>
      <c r="C4" s="70" t="s">
        <v>64</v>
      </c>
      <c r="D4" s="71">
        <v>1</v>
      </c>
      <c r="E4" s="71">
        <v>1</v>
      </c>
      <c r="F4" s="71">
        <v>1</v>
      </c>
      <c r="G4" s="71">
        <v>200</v>
      </c>
      <c r="H4" s="67">
        <v>3002</v>
      </c>
      <c r="I4" s="71">
        <v>0</v>
      </c>
      <c r="J4" s="84">
        <v>105</v>
      </c>
      <c r="K4" s="85" t="s">
        <v>65</v>
      </c>
      <c r="L4" s="84">
        <v>105</v>
      </c>
      <c r="M4" s="85" t="s">
        <v>65</v>
      </c>
      <c r="N4" s="71"/>
      <c r="O4" s="71"/>
      <c r="P4" s="71"/>
      <c r="Q4" s="71"/>
      <c r="R4" s="71"/>
      <c r="S4" s="67">
        <v>1</v>
      </c>
      <c r="T4" s="67">
        <v>1</v>
      </c>
      <c r="U4" s="71"/>
      <c r="V4" s="71"/>
      <c r="W4" s="71"/>
      <c r="X4" s="97">
        <v>300</v>
      </c>
      <c r="Y4" s="104">
        <v>50</v>
      </c>
      <c r="Z4" s="104">
        <v>50</v>
      </c>
      <c r="AA4" s="104">
        <v>50</v>
      </c>
      <c r="AB4" s="71"/>
      <c r="AC4" s="71"/>
      <c r="AD4" s="78" t="s">
        <v>66</v>
      </c>
      <c r="AE4" s="70" t="s">
        <v>67</v>
      </c>
      <c r="AF4" s="70" t="s">
        <v>68</v>
      </c>
      <c r="AG4" s="70" t="s">
        <v>69</v>
      </c>
      <c r="AH4" s="78" t="s">
        <v>70</v>
      </c>
      <c r="AI4" s="71"/>
      <c r="AJ4" s="71"/>
      <c r="AK4" s="78" t="s">
        <v>71</v>
      </c>
      <c r="AL4" s="78" t="s">
        <v>72</v>
      </c>
      <c r="AM4" s="71"/>
      <c r="AN4" s="71">
        <v>1</v>
      </c>
      <c r="AO4" s="71">
        <v>0</v>
      </c>
      <c r="AP4" s="71">
        <v>1</v>
      </c>
      <c r="AQ4" s="71">
        <v>1</v>
      </c>
      <c r="AR4" s="71">
        <v>0</v>
      </c>
      <c r="AS4" s="71">
        <v>0</v>
      </c>
      <c r="AT4" s="78" t="str">
        <f t="shared" si="0"/>
        <v>{s_taskTalk,{105,105}}</v>
      </c>
    </row>
    <row r="5" spans="1:46" s="60" customFormat="1" ht="148.5" customHeight="1">
      <c r="A5" s="71">
        <v>3004</v>
      </c>
      <c r="B5" s="70" t="s">
        <v>73</v>
      </c>
      <c r="C5" s="70" t="s">
        <v>74</v>
      </c>
      <c r="D5" s="71">
        <v>1</v>
      </c>
      <c r="E5" s="71">
        <v>1</v>
      </c>
      <c r="F5" s="71">
        <v>1</v>
      </c>
      <c r="G5" s="71">
        <v>200</v>
      </c>
      <c r="H5" s="66">
        <v>3003</v>
      </c>
      <c r="I5" s="71">
        <v>0</v>
      </c>
      <c r="J5" s="84">
        <v>106</v>
      </c>
      <c r="K5" s="85" t="s">
        <v>75</v>
      </c>
      <c r="L5" s="84">
        <v>106</v>
      </c>
      <c r="M5" s="85" t="s">
        <v>75</v>
      </c>
      <c r="N5" s="71"/>
      <c r="O5" s="71">
        <v>107</v>
      </c>
      <c r="P5" s="71"/>
      <c r="Q5" s="89"/>
      <c r="R5" s="71"/>
      <c r="S5" s="71">
        <v>1</v>
      </c>
      <c r="T5" s="71">
        <v>0</v>
      </c>
      <c r="U5" s="71"/>
      <c r="V5" s="71"/>
      <c r="W5" s="71"/>
      <c r="X5" s="97">
        <v>200</v>
      </c>
      <c r="Y5" s="104">
        <v>50</v>
      </c>
      <c r="Z5" s="104">
        <v>50</v>
      </c>
      <c r="AA5" s="104">
        <v>50</v>
      </c>
      <c r="AB5" s="71"/>
      <c r="AC5" s="71"/>
      <c r="AD5" s="78" t="s">
        <v>76</v>
      </c>
      <c r="AE5" s="70" t="s">
        <v>77</v>
      </c>
      <c r="AF5" s="70" t="s">
        <v>78</v>
      </c>
      <c r="AG5" s="70" t="s">
        <v>79</v>
      </c>
      <c r="AH5" s="78" t="s">
        <v>80</v>
      </c>
      <c r="AI5" s="71"/>
      <c r="AJ5" s="71"/>
      <c r="AK5" s="80" t="s">
        <v>81</v>
      </c>
      <c r="AL5" s="78" t="s">
        <v>82</v>
      </c>
      <c r="AM5" s="71"/>
      <c r="AN5" s="71">
        <v>1</v>
      </c>
      <c r="AO5" s="71">
        <v>0</v>
      </c>
      <c r="AP5" s="71">
        <v>1</v>
      </c>
      <c r="AQ5" s="71">
        <v>1</v>
      </c>
      <c r="AR5" s="71">
        <v>0</v>
      </c>
      <c r="AS5" s="71">
        <v>0</v>
      </c>
      <c r="AT5" s="71" t="str">
        <f t="shared" si="0"/>
        <v>{s_taskTalk,{106,106}}</v>
      </c>
    </row>
    <row r="6" spans="1:46" s="60" customFormat="1" ht="120" customHeight="1">
      <c r="A6" s="71">
        <v>8201</v>
      </c>
      <c r="B6" s="70" t="s">
        <v>73</v>
      </c>
      <c r="C6" s="70" t="s">
        <v>74</v>
      </c>
      <c r="D6" s="71">
        <v>1</v>
      </c>
      <c r="E6" s="71">
        <v>1</v>
      </c>
      <c r="F6" s="71">
        <v>1</v>
      </c>
      <c r="G6" s="71">
        <v>200</v>
      </c>
      <c r="H6" s="66">
        <v>0</v>
      </c>
      <c r="I6" s="71">
        <v>0</v>
      </c>
      <c r="J6" s="84">
        <v>106</v>
      </c>
      <c r="K6" s="85" t="s">
        <v>75</v>
      </c>
      <c r="L6" s="84">
        <v>106</v>
      </c>
      <c r="M6" s="85" t="s">
        <v>75</v>
      </c>
      <c r="N6" s="71"/>
      <c r="O6" s="71">
        <v>107</v>
      </c>
      <c r="P6" s="71"/>
      <c r="Q6" s="89"/>
      <c r="R6" s="71"/>
      <c r="S6" s="71">
        <v>1</v>
      </c>
      <c r="T6" s="71">
        <v>0</v>
      </c>
      <c r="U6" s="71"/>
      <c r="V6" s="71"/>
      <c r="W6" s="71"/>
      <c r="X6" s="97">
        <v>200</v>
      </c>
      <c r="Y6" s="104">
        <v>50</v>
      </c>
      <c r="Z6" s="104">
        <v>50</v>
      </c>
      <c r="AA6" s="104">
        <v>50</v>
      </c>
      <c r="AB6" s="71"/>
      <c r="AC6" s="71"/>
      <c r="AD6" s="78" t="s">
        <v>76</v>
      </c>
      <c r="AE6" s="70" t="s">
        <v>77</v>
      </c>
      <c r="AF6" s="70" t="s">
        <v>78</v>
      </c>
      <c r="AG6" s="70" t="s">
        <v>79</v>
      </c>
      <c r="AH6" s="78" t="s">
        <v>80</v>
      </c>
      <c r="AI6" s="71"/>
      <c r="AJ6" s="71"/>
      <c r="AK6" s="80" t="s">
        <v>81</v>
      </c>
      <c r="AL6" s="78" t="s">
        <v>82</v>
      </c>
      <c r="AM6" s="71"/>
      <c r="AN6" s="71">
        <v>1</v>
      </c>
      <c r="AO6" s="71">
        <v>0</v>
      </c>
      <c r="AP6" s="71">
        <v>1</v>
      </c>
      <c r="AQ6" s="71">
        <v>1</v>
      </c>
      <c r="AR6" s="71">
        <v>0</v>
      </c>
      <c r="AS6" s="71">
        <v>0</v>
      </c>
      <c r="AT6" s="71" t="str">
        <f t="shared" si="0"/>
        <v>{s_taskTalk,{106,106}}</v>
      </c>
    </row>
    <row r="7" spans="1:46" s="60" customFormat="1" ht="120" customHeight="1">
      <c r="A7" s="71">
        <v>8202</v>
      </c>
      <c r="B7" s="70" t="s">
        <v>73</v>
      </c>
      <c r="C7" s="70" t="s">
        <v>74</v>
      </c>
      <c r="D7" s="71">
        <v>1</v>
      </c>
      <c r="E7" s="71">
        <v>1</v>
      </c>
      <c r="F7" s="71">
        <v>1</v>
      </c>
      <c r="G7" s="71">
        <v>200</v>
      </c>
      <c r="H7" s="66">
        <v>0</v>
      </c>
      <c r="I7" s="71">
        <v>0</v>
      </c>
      <c r="J7" s="84">
        <v>106</v>
      </c>
      <c r="K7" s="85" t="s">
        <v>75</v>
      </c>
      <c r="L7" s="84">
        <v>106</v>
      </c>
      <c r="M7" s="85" t="s">
        <v>75</v>
      </c>
      <c r="N7" s="71"/>
      <c r="O7" s="71">
        <v>107</v>
      </c>
      <c r="P7" s="71"/>
      <c r="Q7" s="89"/>
      <c r="R7" s="71"/>
      <c r="S7" s="71">
        <v>1</v>
      </c>
      <c r="T7" s="71">
        <v>0</v>
      </c>
      <c r="U7" s="71"/>
      <c r="V7" s="71"/>
      <c r="W7" s="71"/>
      <c r="X7" s="97">
        <v>200</v>
      </c>
      <c r="Y7" s="104">
        <v>50</v>
      </c>
      <c r="Z7" s="104">
        <v>50</v>
      </c>
      <c r="AA7" s="104">
        <v>50</v>
      </c>
      <c r="AB7" s="71"/>
      <c r="AC7" s="71"/>
      <c r="AD7" s="78" t="s">
        <v>76</v>
      </c>
      <c r="AE7" s="70" t="s">
        <v>77</v>
      </c>
      <c r="AF7" s="70" t="s">
        <v>78</v>
      </c>
      <c r="AG7" s="70" t="s">
        <v>79</v>
      </c>
      <c r="AH7" s="78" t="s">
        <v>80</v>
      </c>
      <c r="AI7" s="71"/>
      <c r="AJ7" s="71"/>
      <c r="AK7" s="80" t="s">
        <v>81</v>
      </c>
      <c r="AL7" s="78" t="s">
        <v>82</v>
      </c>
      <c r="AM7" s="71"/>
      <c r="AN7" s="71">
        <v>1</v>
      </c>
      <c r="AO7" s="71">
        <v>0</v>
      </c>
      <c r="AP7" s="71">
        <v>1</v>
      </c>
      <c r="AQ7" s="71">
        <v>1</v>
      </c>
      <c r="AR7" s="71">
        <v>0</v>
      </c>
      <c r="AS7" s="71">
        <v>0</v>
      </c>
      <c r="AT7" s="71" t="str">
        <f t="shared" si="0"/>
        <v>{s_taskTalk,{106,106}}</v>
      </c>
    </row>
    <row r="8" spans="1:46" s="60" customFormat="1" ht="149.25" customHeight="1">
      <c r="A8" s="71">
        <v>8203</v>
      </c>
      <c r="B8" s="70" t="s">
        <v>73</v>
      </c>
      <c r="C8" s="70" t="s">
        <v>74</v>
      </c>
      <c r="D8" s="71">
        <v>1</v>
      </c>
      <c r="E8" s="71">
        <v>1</v>
      </c>
      <c r="F8" s="71">
        <v>1</v>
      </c>
      <c r="G8" s="71">
        <v>200</v>
      </c>
      <c r="H8" s="66">
        <v>0</v>
      </c>
      <c r="I8" s="71">
        <v>0</v>
      </c>
      <c r="J8" s="84">
        <v>106</v>
      </c>
      <c r="K8" s="85" t="s">
        <v>75</v>
      </c>
      <c r="L8" s="84">
        <v>106</v>
      </c>
      <c r="M8" s="85" t="s">
        <v>75</v>
      </c>
      <c r="N8" s="71"/>
      <c r="O8" s="71">
        <v>107</v>
      </c>
      <c r="P8" s="71"/>
      <c r="Q8" s="89"/>
      <c r="R8" s="71"/>
      <c r="S8" s="71">
        <v>1</v>
      </c>
      <c r="T8" s="71">
        <v>0</v>
      </c>
      <c r="U8" s="71"/>
      <c r="V8" s="71"/>
      <c r="W8" s="71"/>
      <c r="X8" s="97">
        <v>200</v>
      </c>
      <c r="Y8" s="104">
        <v>50</v>
      </c>
      <c r="Z8" s="104">
        <v>50</v>
      </c>
      <c r="AA8" s="104">
        <v>50</v>
      </c>
      <c r="AB8" s="71"/>
      <c r="AC8" s="71"/>
      <c r="AD8" s="78" t="s">
        <v>76</v>
      </c>
      <c r="AE8" s="70" t="s">
        <v>77</v>
      </c>
      <c r="AF8" s="70" t="s">
        <v>78</v>
      </c>
      <c r="AG8" s="70" t="s">
        <v>79</v>
      </c>
      <c r="AH8" s="78" t="s">
        <v>80</v>
      </c>
      <c r="AI8" s="71"/>
      <c r="AJ8" s="71"/>
      <c r="AK8" s="80" t="s">
        <v>81</v>
      </c>
      <c r="AL8" s="78" t="s">
        <v>82</v>
      </c>
      <c r="AM8" s="71"/>
      <c r="AN8" s="71">
        <v>1</v>
      </c>
      <c r="AO8" s="71">
        <v>0</v>
      </c>
      <c r="AP8" s="71">
        <v>1</v>
      </c>
      <c r="AQ8" s="71">
        <v>1</v>
      </c>
      <c r="AR8" s="71">
        <v>0</v>
      </c>
      <c r="AS8" s="71">
        <v>0</v>
      </c>
      <c r="AT8" s="71" t="str">
        <f t="shared" si="0"/>
        <v>{s_taskTalk,{106,106}}</v>
      </c>
    </row>
    <row r="9" spans="1:46" s="60" customFormat="1" ht="94.5" customHeight="1">
      <c r="A9" s="71">
        <v>8204</v>
      </c>
      <c r="B9" s="70" t="s">
        <v>73</v>
      </c>
      <c r="C9" s="70" t="s">
        <v>74</v>
      </c>
      <c r="D9" s="71">
        <v>1</v>
      </c>
      <c r="E9" s="71">
        <v>1</v>
      </c>
      <c r="F9" s="71">
        <v>1</v>
      </c>
      <c r="G9" s="71">
        <v>200</v>
      </c>
      <c r="H9" s="66">
        <v>0</v>
      </c>
      <c r="I9" s="71">
        <v>0</v>
      </c>
      <c r="J9" s="84">
        <v>106</v>
      </c>
      <c r="K9" s="85" t="s">
        <v>75</v>
      </c>
      <c r="L9" s="84">
        <v>106</v>
      </c>
      <c r="M9" s="85" t="s">
        <v>75</v>
      </c>
      <c r="N9" s="71"/>
      <c r="O9" s="71">
        <v>107</v>
      </c>
      <c r="P9" s="71"/>
      <c r="Q9" s="89"/>
      <c r="R9" s="71"/>
      <c r="S9" s="71">
        <v>1</v>
      </c>
      <c r="T9" s="71">
        <v>0</v>
      </c>
      <c r="U9" s="71"/>
      <c r="V9" s="71"/>
      <c r="W9" s="71"/>
      <c r="X9" s="97">
        <v>200</v>
      </c>
      <c r="Y9" s="104">
        <v>50</v>
      </c>
      <c r="Z9" s="104">
        <v>50</v>
      </c>
      <c r="AA9" s="104">
        <v>50</v>
      </c>
      <c r="AB9" s="71"/>
      <c r="AC9" s="71"/>
      <c r="AD9" s="78" t="s">
        <v>76</v>
      </c>
      <c r="AE9" s="70" t="s">
        <v>77</v>
      </c>
      <c r="AF9" s="70" t="s">
        <v>78</v>
      </c>
      <c r="AG9" s="70" t="s">
        <v>79</v>
      </c>
      <c r="AH9" s="78" t="s">
        <v>80</v>
      </c>
      <c r="AI9" s="71"/>
      <c r="AJ9" s="71"/>
      <c r="AK9" s="80" t="s">
        <v>81</v>
      </c>
      <c r="AL9" s="78" t="s">
        <v>82</v>
      </c>
      <c r="AM9" s="71"/>
      <c r="AN9" s="71">
        <v>1</v>
      </c>
      <c r="AO9" s="71">
        <v>0</v>
      </c>
      <c r="AP9" s="71">
        <v>1</v>
      </c>
      <c r="AQ9" s="71">
        <v>1</v>
      </c>
      <c r="AR9" s="71">
        <v>0</v>
      </c>
      <c r="AS9" s="71">
        <v>0</v>
      </c>
      <c r="AT9" s="71" t="str">
        <f t="shared" si="0"/>
        <v>{s_taskTalk,{106,106}}</v>
      </c>
    </row>
    <row r="10" spans="1:46" s="62" customFormat="1" ht="120" customHeight="1">
      <c r="A10" s="72">
        <v>3005</v>
      </c>
      <c r="B10" s="73" t="s">
        <v>73</v>
      </c>
      <c r="C10" s="73" t="s">
        <v>83</v>
      </c>
      <c r="D10" s="72">
        <v>1</v>
      </c>
      <c r="E10" s="72">
        <v>1</v>
      </c>
      <c r="F10" s="72">
        <v>1</v>
      </c>
      <c r="G10" s="72">
        <v>200</v>
      </c>
      <c r="H10" s="74">
        <v>3004</v>
      </c>
      <c r="I10" s="72">
        <v>0</v>
      </c>
      <c r="J10" s="86">
        <v>108</v>
      </c>
      <c r="K10" s="87" t="s">
        <v>84</v>
      </c>
      <c r="L10" s="86">
        <v>109</v>
      </c>
      <c r="M10" s="87" t="s">
        <v>85</v>
      </c>
      <c r="N10" s="72"/>
      <c r="O10" s="72">
        <v>107</v>
      </c>
      <c r="P10" s="72"/>
      <c r="Q10" s="98"/>
      <c r="R10" s="72"/>
      <c r="S10" s="72">
        <v>1</v>
      </c>
      <c r="T10" s="72">
        <v>0</v>
      </c>
      <c r="U10" s="72"/>
      <c r="V10" s="72"/>
      <c r="W10" s="72"/>
      <c r="X10" s="99">
        <v>200</v>
      </c>
      <c r="Y10" s="104">
        <v>50</v>
      </c>
      <c r="Z10" s="104">
        <v>50</v>
      </c>
      <c r="AA10" s="104">
        <v>50</v>
      </c>
      <c r="AB10" s="72"/>
      <c r="AC10" s="72"/>
      <c r="AD10" s="72" t="s">
        <v>86</v>
      </c>
      <c r="AE10" s="73" t="s">
        <v>77</v>
      </c>
      <c r="AF10" s="73" t="s">
        <v>78</v>
      </c>
      <c r="AG10" s="73" t="s">
        <v>79</v>
      </c>
      <c r="AH10" s="72" t="s">
        <v>80</v>
      </c>
      <c r="AI10" s="72"/>
      <c r="AJ10" s="72"/>
      <c r="AK10" s="88" t="s">
        <v>87</v>
      </c>
      <c r="AL10" s="72" t="s">
        <v>88</v>
      </c>
      <c r="AM10" s="72"/>
      <c r="AN10" s="72">
        <v>1</v>
      </c>
      <c r="AO10" s="72">
        <v>0</v>
      </c>
      <c r="AP10" s="72">
        <v>1</v>
      </c>
      <c r="AQ10" s="72">
        <v>1</v>
      </c>
      <c r="AR10" s="72">
        <v>0</v>
      </c>
      <c r="AS10" s="72">
        <v>0</v>
      </c>
      <c r="AT10" s="72" t="str">
        <f t="shared" si="0"/>
        <v>{s_taskTalk,{108,109}}</v>
      </c>
    </row>
    <row r="11" spans="1:46" s="62" customFormat="1" ht="275.25" customHeight="1">
      <c r="A11" s="72">
        <v>3006</v>
      </c>
      <c r="B11" s="73" t="s">
        <v>73</v>
      </c>
      <c r="C11" s="73" t="s">
        <v>89</v>
      </c>
      <c r="D11" s="72">
        <v>1</v>
      </c>
      <c r="E11" s="72">
        <v>1</v>
      </c>
      <c r="F11" s="72">
        <v>1</v>
      </c>
      <c r="G11" s="72">
        <v>200</v>
      </c>
      <c r="H11" s="74">
        <v>3005</v>
      </c>
      <c r="I11" s="72">
        <v>0</v>
      </c>
      <c r="J11" s="86">
        <v>109</v>
      </c>
      <c r="K11" s="87" t="s">
        <v>85</v>
      </c>
      <c r="L11" s="86">
        <v>108</v>
      </c>
      <c r="M11" s="87" t="s">
        <v>84</v>
      </c>
      <c r="N11" s="72"/>
      <c r="O11" s="72">
        <v>107</v>
      </c>
      <c r="P11" s="72"/>
      <c r="Q11" s="98"/>
      <c r="R11" s="72"/>
      <c r="S11" s="72">
        <v>1</v>
      </c>
      <c r="T11" s="72">
        <v>0</v>
      </c>
      <c r="U11" s="72"/>
      <c r="V11" s="72"/>
      <c r="W11" s="72"/>
      <c r="X11" s="99">
        <v>200</v>
      </c>
      <c r="Y11" s="104">
        <v>50</v>
      </c>
      <c r="Z11" s="104">
        <v>50</v>
      </c>
      <c r="AA11" s="104">
        <v>50</v>
      </c>
      <c r="AB11" s="72"/>
      <c r="AC11" s="72"/>
      <c r="AD11" s="72" t="s">
        <v>90</v>
      </c>
      <c r="AE11" s="73" t="s">
        <v>77</v>
      </c>
      <c r="AF11" s="73" t="s">
        <v>78</v>
      </c>
      <c r="AG11" s="73" t="s">
        <v>79</v>
      </c>
      <c r="AH11" s="72" t="s">
        <v>80</v>
      </c>
      <c r="AI11" s="72"/>
      <c r="AJ11" s="72"/>
      <c r="AK11" s="88" t="s">
        <v>91</v>
      </c>
      <c r="AL11" s="72" t="s">
        <v>92</v>
      </c>
      <c r="AM11" s="72"/>
      <c r="AN11" s="72">
        <v>1</v>
      </c>
      <c r="AO11" s="72">
        <v>0</v>
      </c>
      <c r="AP11" s="72">
        <v>1</v>
      </c>
      <c r="AQ11" s="72">
        <v>1</v>
      </c>
      <c r="AR11" s="72">
        <v>0</v>
      </c>
      <c r="AS11" s="72">
        <v>0</v>
      </c>
      <c r="AT11" s="72" t="str">
        <f t="shared" si="0"/>
        <v>{s_taskTalk,{109,108}}</v>
      </c>
    </row>
    <row r="12" spans="1:46" s="62" customFormat="1" ht="120" customHeight="1">
      <c r="A12" s="75">
        <v>3007</v>
      </c>
      <c r="B12" s="76" t="s">
        <v>93</v>
      </c>
      <c r="C12" s="76" t="s">
        <v>94</v>
      </c>
      <c r="D12" s="72">
        <v>1</v>
      </c>
      <c r="E12" s="72">
        <v>1</v>
      </c>
      <c r="F12" s="72">
        <v>1</v>
      </c>
      <c r="G12" s="72">
        <v>200</v>
      </c>
      <c r="H12" s="74">
        <v>3006</v>
      </c>
      <c r="I12" s="72">
        <v>0</v>
      </c>
      <c r="J12" s="86">
        <v>106</v>
      </c>
      <c r="K12" s="87" t="s">
        <v>75</v>
      </c>
      <c r="L12" s="86">
        <v>107</v>
      </c>
      <c r="M12" s="87" t="s">
        <v>95</v>
      </c>
      <c r="N12" s="72"/>
      <c r="O12" s="72"/>
      <c r="P12" s="72"/>
      <c r="Q12" s="98">
        <v>1</v>
      </c>
      <c r="R12" s="72"/>
      <c r="S12" s="72">
        <v>3</v>
      </c>
      <c r="T12" s="72">
        <v>0</v>
      </c>
      <c r="U12" s="72"/>
      <c r="V12" s="72"/>
      <c r="W12" s="72"/>
      <c r="X12" s="99">
        <v>500</v>
      </c>
      <c r="Y12" s="104">
        <v>50</v>
      </c>
      <c r="Z12" s="104">
        <v>50</v>
      </c>
      <c r="AA12" s="104">
        <v>50</v>
      </c>
      <c r="AB12" s="81"/>
      <c r="AC12" s="72"/>
      <c r="AD12" s="72" t="s">
        <v>96</v>
      </c>
      <c r="AE12" s="73" t="s">
        <v>302</v>
      </c>
      <c r="AF12" s="73" t="s">
        <v>97</v>
      </c>
      <c r="AG12" s="73"/>
      <c r="AH12" s="72" t="s">
        <v>70</v>
      </c>
      <c r="AI12" s="72"/>
      <c r="AJ12" s="72"/>
      <c r="AK12" s="72" t="s">
        <v>98</v>
      </c>
      <c r="AL12" s="72" t="s">
        <v>300</v>
      </c>
      <c r="AM12" s="72"/>
      <c r="AN12" s="72">
        <v>1</v>
      </c>
      <c r="AO12" s="72">
        <v>0</v>
      </c>
      <c r="AP12" s="72">
        <v>1</v>
      </c>
      <c r="AQ12" s="72">
        <v>1</v>
      </c>
      <c r="AR12" s="72">
        <v>0</v>
      </c>
      <c r="AS12" s="72">
        <v>0</v>
      </c>
      <c r="AT12" s="72" t="s">
        <v>99</v>
      </c>
    </row>
    <row r="13" spans="1:46" s="62" customFormat="1" ht="120" customHeight="1">
      <c r="A13" s="74">
        <v>3008</v>
      </c>
      <c r="B13" s="73" t="s">
        <v>93</v>
      </c>
      <c r="C13" s="73" t="s">
        <v>100</v>
      </c>
      <c r="D13" s="72">
        <v>1</v>
      </c>
      <c r="E13" s="72">
        <v>1</v>
      </c>
      <c r="F13" s="72">
        <v>1</v>
      </c>
      <c r="G13" s="72">
        <v>200</v>
      </c>
      <c r="H13" s="74">
        <v>3007</v>
      </c>
      <c r="I13" s="72">
        <v>0</v>
      </c>
      <c r="J13" s="86">
        <v>106</v>
      </c>
      <c r="K13" s="87" t="s">
        <v>75</v>
      </c>
      <c r="L13" s="86">
        <v>107</v>
      </c>
      <c r="M13" s="87" t="s">
        <v>95</v>
      </c>
      <c r="N13" s="72"/>
      <c r="O13" s="72"/>
      <c r="P13" s="72"/>
      <c r="Q13" s="72">
        <v>2</v>
      </c>
      <c r="R13" s="72"/>
      <c r="S13" s="74">
        <v>3</v>
      </c>
      <c r="T13" s="74">
        <v>0</v>
      </c>
      <c r="U13" s="72"/>
      <c r="V13" s="72"/>
      <c r="W13" s="72"/>
      <c r="X13" s="99">
        <v>200</v>
      </c>
      <c r="Y13" s="104">
        <v>50</v>
      </c>
      <c r="Z13" s="104">
        <v>50</v>
      </c>
      <c r="AA13" s="104">
        <v>50</v>
      </c>
      <c r="AB13" s="72"/>
      <c r="AC13" s="74"/>
      <c r="AD13" s="72" t="s">
        <v>101</v>
      </c>
      <c r="AE13" s="73" t="s">
        <v>102</v>
      </c>
      <c r="AF13" s="73" t="s">
        <v>103</v>
      </c>
      <c r="AG13" s="73" t="s">
        <v>104</v>
      </c>
      <c r="AH13" s="72" t="s">
        <v>70</v>
      </c>
      <c r="AI13" s="72"/>
      <c r="AJ13" s="72"/>
      <c r="AK13" s="72" t="s">
        <v>105</v>
      </c>
      <c r="AL13" s="72" t="s">
        <v>301</v>
      </c>
      <c r="AM13" s="72"/>
      <c r="AN13" s="72">
        <v>1</v>
      </c>
      <c r="AO13" s="72">
        <v>0</v>
      </c>
      <c r="AP13" s="72">
        <v>1</v>
      </c>
      <c r="AQ13" s="72">
        <v>1</v>
      </c>
      <c r="AR13" s="72">
        <v>0</v>
      </c>
      <c r="AS13" s="72">
        <v>0</v>
      </c>
      <c r="AT13" s="72" t="s">
        <v>106</v>
      </c>
    </row>
    <row r="14" spans="1:46" s="62" customFormat="1" ht="120" customHeight="1">
      <c r="A14" s="74">
        <v>3009</v>
      </c>
      <c r="B14" s="73" t="s">
        <v>93</v>
      </c>
      <c r="C14" s="73" t="s">
        <v>107</v>
      </c>
      <c r="D14" s="72">
        <v>1</v>
      </c>
      <c r="E14" s="72">
        <v>1</v>
      </c>
      <c r="F14" s="72">
        <v>1</v>
      </c>
      <c r="G14" s="72">
        <v>200</v>
      </c>
      <c r="H14" s="74">
        <v>3008</v>
      </c>
      <c r="I14" s="72">
        <v>0</v>
      </c>
      <c r="J14" s="86">
        <v>106</v>
      </c>
      <c r="K14" s="87" t="s">
        <v>75</v>
      </c>
      <c r="L14" s="86">
        <v>107</v>
      </c>
      <c r="M14" s="87" t="s">
        <v>95</v>
      </c>
      <c r="N14" s="72"/>
      <c r="O14" s="72"/>
      <c r="P14" s="72"/>
      <c r="Q14" s="98">
        <v>1</v>
      </c>
      <c r="R14" s="72"/>
      <c r="S14" s="72">
        <v>1</v>
      </c>
      <c r="T14" s="72">
        <v>0</v>
      </c>
      <c r="U14" s="72"/>
      <c r="V14" s="72"/>
      <c r="W14" s="72"/>
      <c r="X14" s="99">
        <v>1000</v>
      </c>
      <c r="Y14" s="104">
        <v>50</v>
      </c>
      <c r="Z14" s="104">
        <v>50</v>
      </c>
      <c r="AA14" s="104">
        <v>50</v>
      </c>
      <c r="AB14" s="72"/>
      <c r="AC14" s="72"/>
      <c r="AD14" s="72" t="s">
        <v>108</v>
      </c>
      <c r="AE14" s="73" t="s">
        <v>109</v>
      </c>
      <c r="AF14" s="73" t="s">
        <v>110</v>
      </c>
      <c r="AG14" s="73" t="s">
        <v>111</v>
      </c>
      <c r="AH14" s="74" t="s">
        <v>112</v>
      </c>
      <c r="AI14" s="72"/>
      <c r="AJ14" s="72"/>
      <c r="AK14" s="72" t="s">
        <v>113</v>
      </c>
      <c r="AL14" s="72" t="s">
        <v>114</v>
      </c>
      <c r="AM14" s="72"/>
      <c r="AN14" s="74">
        <v>1</v>
      </c>
      <c r="AO14" s="74">
        <v>0</v>
      </c>
      <c r="AP14" s="74">
        <v>1</v>
      </c>
      <c r="AQ14" s="74">
        <v>1</v>
      </c>
      <c r="AR14" s="72">
        <v>0</v>
      </c>
      <c r="AS14" s="74">
        <v>0</v>
      </c>
      <c r="AT14" s="72" t="s">
        <v>115</v>
      </c>
    </row>
    <row r="15" spans="1:46" s="139" customFormat="1" ht="120" customHeight="1">
      <c r="A15" s="126">
        <v>1001</v>
      </c>
      <c r="B15" s="127" t="s">
        <v>245</v>
      </c>
      <c r="C15" s="129" t="s">
        <v>239</v>
      </c>
      <c r="D15" s="126">
        <v>1</v>
      </c>
      <c r="E15" s="126">
        <v>2</v>
      </c>
      <c r="F15" s="130">
        <v>1</v>
      </c>
      <c r="G15" s="130">
        <v>200</v>
      </c>
      <c r="H15" s="126">
        <v>0</v>
      </c>
      <c r="I15" s="126">
        <v>0</v>
      </c>
      <c r="J15" s="132">
        <v>10001</v>
      </c>
      <c r="K15" s="132" t="s">
        <v>246</v>
      </c>
      <c r="L15" s="132">
        <v>10001</v>
      </c>
      <c r="M15" s="132" t="s">
        <v>244</v>
      </c>
      <c r="N15" s="133"/>
      <c r="O15" s="130"/>
      <c r="P15" s="134"/>
      <c r="Q15" s="134"/>
      <c r="R15" s="135"/>
      <c r="S15" s="126">
        <v>1</v>
      </c>
      <c r="T15" s="126">
        <v>1</v>
      </c>
      <c r="U15" s="136"/>
      <c r="V15" s="126"/>
      <c r="W15" s="126"/>
      <c r="X15" s="140">
        <v>100</v>
      </c>
      <c r="Y15" s="138">
        <v>50</v>
      </c>
      <c r="Z15" s="138">
        <v>50</v>
      </c>
      <c r="AA15" s="138">
        <v>50</v>
      </c>
      <c r="AB15" s="67" t="s">
        <v>329</v>
      </c>
      <c r="AC15" s="126"/>
      <c r="AD15" s="130" t="s">
        <v>336</v>
      </c>
      <c r="AE15" s="129" t="s">
        <v>319</v>
      </c>
      <c r="AF15" s="129" t="s">
        <v>318</v>
      </c>
      <c r="AG15" s="129" t="s">
        <v>247</v>
      </c>
      <c r="AH15" s="130" t="s">
        <v>249</v>
      </c>
      <c r="AI15" s="130"/>
      <c r="AJ15" s="130"/>
      <c r="AK15" s="133" t="s">
        <v>251</v>
      </c>
      <c r="AL15" s="130" t="s">
        <v>248</v>
      </c>
      <c r="AM15" s="130"/>
      <c r="AN15" s="130">
        <v>1</v>
      </c>
      <c r="AO15" s="126">
        <v>0</v>
      </c>
      <c r="AP15" s="126">
        <v>1</v>
      </c>
      <c r="AQ15" s="126">
        <v>1</v>
      </c>
      <c r="AR15" s="130">
        <v>0</v>
      </c>
      <c r="AS15" s="126">
        <v>0</v>
      </c>
      <c r="AT15" s="130" t="str">
        <f t="shared" ref="AT15:AT16" si="1">"{s_taskTalk,{"&amp;J15&amp;","&amp;L15&amp;"}}"</f>
        <v>{s_taskTalk,{10001,10001}}</v>
      </c>
    </row>
    <row r="16" spans="1:46" s="60" customFormat="1" ht="120" customHeight="1">
      <c r="A16" s="66">
        <v>1002</v>
      </c>
      <c r="B16" s="102" t="s">
        <v>241</v>
      </c>
      <c r="C16" s="77" t="s">
        <v>240</v>
      </c>
      <c r="D16" s="126">
        <v>1</v>
      </c>
      <c r="E16" s="126">
        <v>2</v>
      </c>
      <c r="F16" s="130">
        <v>1</v>
      </c>
      <c r="G16" s="130">
        <v>200</v>
      </c>
      <c r="H16" s="67">
        <v>1001</v>
      </c>
      <c r="I16" s="67">
        <v>0</v>
      </c>
      <c r="J16" s="84">
        <v>10001</v>
      </c>
      <c r="K16" s="132" t="s">
        <v>244</v>
      </c>
      <c r="L16" s="84">
        <v>10001</v>
      </c>
      <c r="M16" s="132" t="s">
        <v>244</v>
      </c>
      <c r="N16" s="80"/>
      <c r="O16" s="71">
        <v>10006</v>
      </c>
      <c r="P16" s="81"/>
      <c r="Q16" s="81"/>
      <c r="R16" s="93"/>
      <c r="S16" s="67">
        <v>1</v>
      </c>
      <c r="T16" s="67">
        <v>0</v>
      </c>
      <c r="U16" s="96"/>
      <c r="V16" s="67"/>
      <c r="W16" s="67"/>
      <c r="X16" s="140">
        <v>100</v>
      </c>
      <c r="Y16" s="138">
        <v>50</v>
      </c>
      <c r="Z16" s="138">
        <v>50</v>
      </c>
      <c r="AA16" s="138">
        <v>50</v>
      </c>
      <c r="AB16" s="67" t="s">
        <v>330</v>
      </c>
      <c r="AC16" s="67"/>
      <c r="AD16" s="130" t="s">
        <v>353</v>
      </c>
      <c r="AE16" s="143" t="s">
        <v>320</v>
      </c>
      <c r="AF16" s="143" t="s">
        <v>317</v>
      </c>
      <c r="AG16" s="128" t="s">
        <v>257</v>
      </c>
      <c r="AH16" s="141" t="s">
        <v>250</v>
      </c>
      <c r="AI16" s="71"/>
      <c r="AJ16" s="71"/>
      <c r="AK16" s="133" t="s">
        <v>252</v>
      </c>
      <c r="AL16" s="130" t="s">
        <v>262</v>
      </c>
      <c r="AM16" s="71"/>
      <c r="AN16" s="130">
        <v>1</v>
      </c>
      <c r="AO16" s="130">
        <v>0</v>
      </c>
      <c r="AP16" s="130">
        <v>1</v>
      </c>
      <c r="AQ16" s="130">
        <v>1</v>
      </c>
      <c r="AR16" s="130">
        <v>0</v>
      </c>
      <c r="AS16" s="130">
        <v>0</v>
      </c>
      <c r="AT16" s="130" t="str">
        <f t="shared" si="1"/>
        <v>{s_taskTalk,{10001,10001}}</v>
      </c>
    </row>
    <row r="17" spans="1:46" s="139" customFormat="1" ht="120" customHeight="1">
      <c r="A17" s="126">
        <v>1003</v>
      </c>
      <c r="B17" s="127" t="s">
        <v>238</v>
      </c>
      <c r="C17" s="129" t="s">
        <v>253</v>
      </c>
      <c r="D17" s="126">
        <v>1</v>
      </c>
      <c r="E17" s="126">
        <v>2</v>
      </c>
      <c r="F17" s="130">
        <v>1</v>
      </c>
      <c r="G17" s="130">
        <v>200</v>
      </c>
      <c r="H17" s="126">
        <v>1002</v>
      </c>
      <c r="I17" s="126">
        <v>0</v>
      </c>
      <c r="J17" s="132">
        <v>10001</v>
      </c>
      <c r="K17" s="132" t="s">
        <v>244</v>
      </c>
      <c r="L17" s="132">
        <v>10001</v>
      </c>
      <c r="M17" s="132" t="s">
        <v>244</v>
      </c>
      <c r="N17" s="133"/>
      <c r="O17" s="130"/>
      <c r="P17" s="134"/>
      <c r="Q17" s="134"/>
      <c r="R17" s="135"/>
      <c r="S17" s="126">
        <v>1</v>
      </c>
      <c r="T17" s="126">
        <v>1</v>
      </c>
      <c r="U17" s="136"/>
      <c r="V17" s="126"/>
      <c r="W17" s="126"/>
      <c r="X17" s="140">
        <v>100</v>
      </c>
      <c r="Y17" s="138">
        <v>50</v>
      </c>
      <c r="Z17" s="138">
        <v>50</v>
      </c>
      <c r="AA17" s="138">
        <v>50</v>
      </c>
      <c r="AB17" s="67" t="s">
        <v>328</v>
      </c>
      <c r="AC17" s="126"/>
      <c r="AD17" s="130" t="s">
        <v>255</v>
      </c>
      <c r="AE17" s="129" t="s">
        <v>321</v>
      </c>
      <c r="AF17" s="129" t="s">
        <v>316</v>
      </c>
      <c r="AG17" s="129" t="s">
        <v>247</v>
      </c>
      <c r="AH17" s="130" t="s">
        <v>258</v>
      </c>
      <c r="AI17" s="130"/>
      <c r="AJ17" s="130"/>
      <c r="AK17" s="133" t="s">
        <v>261</v>
      </c>
      <c r="AL17" s="130" t="s">
        <v>263</v>
      </c>
      <c r="AM17" s="130"/>
      <c r="AN17" s="130">
        <v>1</v>
      </c>
      <c r="AO17" s="126">
        <v>0</v>
      </c>
      <c r="AP17" s="126">
        <v>1</v>
      </c>
      <c r="AQ17" s="126">
        <v>1</v>
      </c>
      <c r="AR17" s="130">
        <v>0</v>
      </c>
      <c r="AS17" s="126">
        <v>0</v>
      </c>
      <c r="AT17" s="130" t="str">
        <f t="shared" ref="AT17:AT18" si="2">"{s_taskTalk,{"&amp;J17&amp;","&amp;L17&amp;"}}"</f>
        <v>{s_taskTalk,{10001,10001}}</v>
      </c>
    </row>
    <row r="18" spans="1:46" s="139" customFormat="1" ht="120" customHeight="1">
      <c r="A18" s="66">
        <v>1004</v>
      </c>
      <c r="B18" s="127" t="s">
        <v>238</v>
      </c>
      <c r="C18" s="129" t="s">
        <v>254</v>
      </c>
      <c r="D18" s="126">
        <v>1</v>
      </c>
      <c r="E18" s="126">
        <v>2</v>
      </c>
      <c r="F18" s="130">
        <v>1</v>
      </c>
      <c r="G18" s="130">
        <v>200</v>
      </c>
      <c r="H18" s="126">
        <v>1003</v>
      </c>
      <c r="I18" s="126">
        <v>0</v>
      </c>
      <c r="J18" s="132">
        <v>10001</v>
      </c>
      <c r="K18" s="132" t="s">
        <v>244</v>
      </c>
      <c r="L18" s="132">
        <v>10002</v>
      </c>
      <c r="M18" s="132" t="s">
        <v>259</v>
      </c>
      <c r="N18" s="133"/>
      <c r="O18" s="130"/>
      <c r="P18" s="134"/>
      <c r="Q18" s="134"/>
      <c r="R18" s="135"/>
      <c r="S18" s="126">
        <v>1</v>
      </c>
      <c r="T18" s="126">
        <v>1</v>
      </c>
      <c r="U18" s="136"/>
      <c r="V18" s="126"/>
      <c r="W18" s="126"/>
      <c r="X18" s="140">
        <v>100</v>
      </c>
      <c r="Y18" s="138">
        <v>50</v>
      </c>
      <c r="Z18" s="138">
        <v>50</v>
      </c>
      <c r="AA18" s="138">
        <v>50</v>
      </c>
      <c r="AB18" s="67" t="s">
        <v>331</v>
      </c>
      <c r="AC18" s="126"/>
      <c r="AD18" s="130" t="s">
        <v>256</v>
      </c>
      <c r="AE18" s="129" t="s">
        <v>303</v>
      </c>
      <c r="AF18" s="129" t="s">
        <v>315</v>
      </c>
      <c r="AG18" s="129" t="s">
        <v>247</v>
      </c>
      <c r="AH18" s="130" t="s">
        <v>260</v>
      </c>
      <c r="AI18" s="130"/>
      <c r="AJ18" s="130"/>
      <c r="AK18" s="133" t="s">
        <v>265</v>
      </c>
      <c r="AL18" s="130" t="s">
        <v>264</v>
      </c>
      <c r="AM18" s="130"/>
      <c r="AN18" s="130">
        <v>1</v>
      </c>
      <c r="AO18" s="126">
        <v>0</v>
      </c>
      <c r="AP18" s="126">
        <v>1</v>
      </c>
      <c r="AQ18" s="126">
        <v>1</v>
      </c>
      <c r="AR18" s="130">
        <v>0</v>
      </c>
      <c r="AS18" s="126">
        <v>0</v>
      </c>
      <c r="AT18" s="130" t="str">
        <f t="shared" si="2"/>
        <v>{s_taskTalk,{10001,10002}}</v>
      </c>
    </row>
    <row r="19" spans="1:46" s="139" customFormat="1" ht="120" customHeight="1">
      <c r="A19" s="126">
        <v>1005</v>
      </c>
      <c r="B19" s="129" t="s">
        <v>93</v>
      </c>
      <c r="C19" s="129" t="s">
        <v>266</v>
      </c>
      <c r="D19" s="130">
        <v>1</v>
      </c>
      <c r="E19" s="130">
        <v>2</v>
      </c>
      <c r="F19" s="130">
        <v>1</v>
      </c>
      <c r="G19" s="130">
        <v>200</v>
      </c>
      <c r="H19" s="126">
        <v>1004</v>
      </c>
      <c r="I19" s="130">
        <v>0</v>
      </c>
      <c r="J19" s="131">
        <v>10002</v>
      </c>
      <c r="K19" s="132" t="s">
        <v>259</v>
      </c>
      <c r="L19" s="131">
        <v>10002</v>
      </c>
      <c r="M19" s="132" t="s">
        <v>259</v>
      </c>
      <c r="N19" s="130"/>
      <c r="O19" s="130"/>
      <c r="P19" s="130"/>
      <c r="Q19" s="142">
        <v>10007</v>
      </c>
      <c r="R19" s="130"/>
      <c r="S19" s="130">
        <v>1</v>
      </c>
      <c r="T19" s="130">
        <v>0</v>
      </c>
      <c r="U19" s="130"/>
      <c r="V19" s="130"/>
      <c r="W19" s="130"/>
      <c r="X19" s="137">
        <v>1000</v>
      </c>
      <c r="Y19" s="138">
        <v>50</v>
      </c>
      <c r="Z19" s="138">
        <v>50</v>
      </c>
      <c r="AA19" s="138">
        <v>50</v>
      </c>
      <c r="AB19" s="130"/>
      <c r="AC19" s="130"/>
      <c r="AD19" s="130" t="s">
        <v>352</v>
      </c>
      <c r="AE19" s="129" t="s">
        <v>304</v>
      </c>
      <c r="AF19" s="129" t="s">
        <v>314</v>
      </c>
      <c r="AG19" s="129" t="s">
        <v>267</v>
      </c>
      <c r="AH19" s="126" t="s">
        <v>268</v>
      </c>
      <c r="AI19" s="130"/>
      <c r="AJ19" s="130"/>
      <c r="AK19" s="130" t="s">
        <v>269</v>
      </c>
      <c r="AL19" s="130" t="s">
        <v>270</v>
      </c>
      <c r="AM19" s="130"/>
      <c r="AN19" s="126">
        <v>1</v>
      </c>
      <c r="AO19" s="126">
        <v>0</v>
      </c>
      <c r="AP19" s="126">
        <v>1</v>
      </c>
      <c r="AQ19" s="126">
        <v>1</v>
      </c>
      <c r="AR19" s="130">
        <v>0</v>
      </c>
      <c r="AS19" s="126">
        <v>0</v>
      </c>
      <c r="AT19" s="130" t="s">
        <v>271</v>
      </c>
    </row>
    <row r="20" spans="1:46" s="139" customFormat="1" ht="120" customHeight="1">
      <c r="A20" s="66">
        <v>1006</v>
      </c>
      <c r="B20" s="127" t="s">
        <v>238</v>
      </c>
      <c r="C20" s="129" t="s">
        <v>272</v>
      </c>
      <c r="D20" s="126">
        <v>1</v>
      </c>
      <c r="E20" s="126">
        <v>2</v>
      </c>
      <c r="F20" s="130">
        <v>1</v>
      </c>
      <c r="G20" s="130">
        <v>200</v>
      </c>
      <c r="H20" s="126">
        <v>1005</v>
      </c>
      <c r="I20" s="126">
        <v>0</v>
      </c>
      <c r="J20" s="131">
        <v>10002</v>
      </c>
      <c r="K20" s="132" t="s">
        <v>259</v>
      </c>
      <c r="L20" s="132">
        <v>10003</v>
      </c>
      <c r="M20" s="132" t="s">
        <v>275</v>
      </c>
      <c r="N20" s="133"/>
      <c r="O20" s="130"/>
      <c r="P20" s="134"/>
      <c r="Q20" s="134"/>
      <c r="R20" s="135"/>
      <c r="S20" s="126">
        <v>1</v>
      </c>
      <c r="T20" s="126">
        <v>1</v>
      </c>
      <c r="U20" s="136"/>
      <c r="V20" s="126"/>
      <c r="W20" s="126"/>
      <c r="X20" s="140">
        <v>100</v>
      </c>
      <c r="Y20" s="138">
        <v>50</v>
      </c>
      <c r="Z20" s="138">
        <v>50</v>
      </c>
      <c r="AA20" s="138">
        <v>50</v>
      </c>
      <c r="AB20" s="67" t="s">
        <v>331</v>
      </c>
      <c r="AC20" s="126"/>
      <c r="AD20" s="130" t="s">
        <v>276</v>
      </c>
      <c r="AE20" s="129" t="s">
        <v>305</v>
      </c>
      <c r="AF20" s="129" t="s">
        <v>313</v>
      </c>
      <c r="AG20" s="129" t="s">
        <v>247</v>
      </c>
      <c r="AH20" s="130" t="s">
        <v>279</v>
      </c>
      <c r="AI20" s="130"/>
      <c r="AJ20" s="130"/>
      <c r="AK20" s="133" t="s">
        <v>280</v>
      </c>
      <c r="AL20" s="130" t="s">
        <v>281</v>
      </c>
      <c r="AM20" s="130"/>
      <c r="AN20" s="130">
        <v>1</v>
      </c>
      <c r="AO20" s="126">
        <v>0</v>
      </c>
      <c r="AP20" s="126">
        <v>1</v>
      </c>
      <c r="AQ20" s="126">
        <v>1</v>
      </c>
      <c r="AR20" s="130">
        <v>0</v>
      </c>
      <c r="AS20" s="126">
        <v>0</v>
      </c>
      <c r="AT20" s="130" t="str">
        <f t="shared" ref="AT20" si="3">"{s_taskTalk,{"&amp;J20&amp;","&amp;L20&amp;"}}"</f>
        <v>{s_taskTalk,{10002,10003}}</v>
      </c>
    </row>
    <row r="21" spans="1:46" s="139" customFormat="1" ht="120" customHeight="1">
      <c r="A21" s="126">
        <v>1007</v>
      </c>
      <c r="B21" s="127" t="s">
        <v>238</v>
      </c>
      <c r="C21" s="129" t="s">
        <v>273</v>
      </c>
      <c r="D21" s="126">
        <v>1</v>
      </c>
      <c r="E21" s="126">
        <v>2</v>
      </c>
      <c r="F21" s="130">
        <v>1</v>
      </c>
      <c r="G21" s="130">
        <v>200</v>
      </c>
      <c r="H21" s="126">
        <v>1006</v>
      </c>
      <c r="I21" s="126">
        <v>0</v>
      </c>
      <c r="J21" s="132">
        <v>10003</v>
      </c>
      <c r="K21" s="132" t="s">
        <v>275</v>
      </c>
      <c r="L21" s="132">
        <v>10003</v>
      </c>
      <c r="M21" s="132" t="s">
        <v>275</v>
      </c>
      <c r="N21" s="133"/>
      <c r="O21" s="130"/>
      <c r="P21" s="134"/>
      <c r="Q21" s="134"/>
      <c r="R21" s="135"/>
      <c r="S21" s="126">
        <v>1</v>
      </c>
      <c r="T21" s="126">
        <v>1</v>
      </c>
      <c r="U21" s="136"/>
      <c r="V21" s="126"/>
      <c r="W21" s="126"/>
      <c r="X21" s="140">
        <v>100</v>
      </c>
      <c r="Y21" s="138">
        <v>50</v>
      </c>
      <c r="Z21" s="138">
        <v>50</v>
      </c>
      <c r="AA21" s="138">
        <v>50</v>
      </c>
      <c r="AB21" s="67" t="s">
        <v>331</v>
      </c>
      <c r="AC21" s="126"/>
      <c r="AD21" s="130" t="s">
        <v>285</v>
      </c>
      <c r="AE21" s="129" t="s">
        <v>337</v>
      </c>
      <c r="AF21" s="129" t="s">
        <v>312</v>
      </c>
      <c r="AG21" s="129" t="s">
        <v>247</v>
      </c>
      <c r="AH21" s="130" t="s">
        <v>282</v>
      </c>
      <c r="AI21" s="130"/>
      <c r="AJ21" s="130"/>
      <c r="AK21" s="133" t="s">
        <v>283</v>
      </c>
      <c r="AL21" s="130" t="s">
        <v>284</v>
      </c>
      <c r="AM21" s="130"/>
      <c r="AN21" s="130">
        <v>1</v>
      </c>
      <c r="AO21" s="126">
        <v>0</v>
      </c>
      <c r="AP21" s="126">
        <v>1</v>
      </c>
      <c r="AQ21" s="126">
        <v>1</v>
      </c>
      <c r="AR21" s="130">
        <v>0</v>
      </c>
      <c r="AS21" s="126">
        <v>0</v>
      </c>
      <c r="AT21" s="130" t="str">
        <f t="shared" ref="AT21" si="4">"{s_taskTalk,{"&amp;J21&amp;","&amp;L21&amp;"}}"</f>
        <v>{s_taskTalk,{10003,10003}}</v>
      </c>
    </row>
    <row r="22" spans="1:46" s="139" customFormat="1" ht="120" customHeight="1">
      <c r="A22" s="66">
        <v>1008</v>
      </c>
      <c r="B22" s="129" t="s">
        <v>93</v>
      </c>
      <c r="C22" s="129" t="s">
        <v>242</v>
      </c>
      <c r="D22" s="130">
        <v>1</v>
      </c>
      <c r="E22" s="130">
        <v>2</v>
      </c>
      <c r="F22" s="130">
        <v>1</v>
      </c>
      <c r="G22" s="130">
        <v>200</v>
      </c>
      <c r="H22" s="126">
        <v>1007</v>
      </c>
      <c r="I22" s="130">
        <v>0</v>
      </c>
      <c r="J22" s="132">
        <v>10003</v>
      </c>
      <c r="K22" s="132" t="s">
        <v>275</v>
      </c>
      <c r="L22" s="132">
        <v>10003</v>
      </c>
      <c r="M22" s="132" t="s">
        <v>275</v>
      </c>
      <c r="N22" s="130"/>
      <c r="O22" s="130"/>
      <c r="P22" s="130"/>
      <c r="Q22" s="142">
        <v>10008</v>
      </c>
      <c r="R22" s="130"/>
      <c r="S22" s="130">
        <v>1</v>
      </c>
      <c r="T22" s="130">
        <v>0</v>
      </c>
      <c r="U22" s="130"/>
      <c r="V22" s="130"/>
      <c r="W22" s="130"/>
      <c r="X22" s="137">
        <v>1000</v>
      </c>
      <c r="Y22" s="138">
        <v>50</v>
      </c>
      <c r="Z22" s="138">
        <v>50</v>
      </c>
      <c r="AA22" s="138">
        <v>50</v>
      </c>
      <c r="AB22" s="130"/>
      <c r="AC22" s="130"/>
      <c r="AD22" s="130" t="s">
        <v>286</v>
      </c>
      <c r="AE22" s="129" t="s">
        <v>306</v>
      </c>
      <c r="AF22" s="129" t="s">
        <v>311</v>
      </c>
      <c r="AG22" s="129" t="s">
        <v>277</v>
      </c>
      <c r="AH22" s="126" t="s">
        <v>293</v>
      </c>
      <c r="AI22" s="130"/>
      <c r="AJ22" s="130"/>
      <c r="AK22" s="130" t="s">
        <v>294</v>
      </c>
      <c r="AL22" s="130" t="s">
        <v>295</v>
      </c>
      <c r="AM22" s="130"/>
      <c r="AN22" s="126">
        <v>1</v>
      </c>
      <c r="AO22" s="126">
        <v>0</v>
      </c>
      <c r="AP22" s="126">
        <v>1</v>
      </c>
      <c r="AQ22" s="126">
        <v>1</v>
      </c>
      <c r="AR22" s="130">
        <v>0</v>
      </c>
      <c r="AS22" s="126">
        <v>0</v>
      </c>
      <c r="AT22" s="130" t="s">
        <v>298</v>
      </c>
    </row>
    <row r="23" spans="1:46" s="139" customFormat="1" ht="120" customHeight="1">
      <c r="A23" s="126">
        <v>1009</v>
      </c>
      <c r="B23" s="129" t="s">
        <v>93</v>
      </c>
      <c r="C23" s="129" t="s">
        <v>274</v>
      </c>
      <c r="D23" s="130">
        <v>1</v>
      </c>
      <c r="E23" s="130">
        <v>2</v>
      </c>
      <c r="F23" s="130">
        <v>1</v>
      </c>
      <c r="G23" s="130">
        <v>200</v>
      </c>
      <c r="H23" s="126">
        <v>1008</v>
      </c>
      <c r="I23" s="130">
        <v>0</v>
      </c>
      <c r="J23" s="132">
        <v>10003</v>
      </c>
      <c r="K23" s="132" t="s">
        <v>275</v>
      </c>
      <c r="L23" s="132">
        <v>10003</v>
      </c>
      <c r="M23" s="132" t="s">
        <v>275</v>
      </c>
      <c r="N23" s="130"/>
      <c r="O23" s="130"/>
      <c r="P23" s="130"/>
      <c r="Q23" s="142">
        <v>10009</v>
      </c>
      <c r="R23" s="130"/>
      <c r="S23" s="130">
        <v>1</v>
      </c>
      <c r="T23" s="130">
        <v>0</v>
      </c>
      <c r="U23" s="130"/>
      <c r="V23" s="130"/>
      <c r="W23" s="130"/>
      <c r="X23" s="137">
        <v>1000</v>
      </c>
      <c r="Y23" s="138">
        <v>50</v>
      </c>
      <c r="Z23" s="138">
        <v>50</v>
      </c>
      <c r="AA23" s="138">
        <v>50</v>
      </c>
      <c r="AB23" s="130"/>
      <c r="AC23" s="130"/>
      <c r="AD23" s="130" t="s">
        <v>287</v>
      </c>
      <c r="AE23" s="129" t="s">
        <v>307</v>
      </c>
      <c r="AF23" s="129" t="s">
        <v>310</v>
      </c>
      <c r="AG23" s="129" t="s">
        <v>278</v>
      </c>
      <c r="AH23" s="126" t="s">
        <v>292</v>
      </c>
      <c r="AI23" s="130"/>
      <c r="AJ23" s="130"/>
      <c r="AK23" s="130" t="s">
        <v>291</v>
      </c>
      <c r="AL23" s="130" t="s">
        <v>296</v>
      </c>
      <c r="AM23" s="130"/>
      <c r="AN23" s="126">
        <v>1</v>
      </c>
      <c r="AO23" s="126">
        <v>0</v>
      </c>
      <c r="AP23" s="126">
        <v>1</v>
      </c>
      <c r="AQ23" s="126">
        <v>1</v>
      </c>
      <c r="AR23" s="130">
        <v>0</v>
      </c>
      <c r="AS23" s="126">
        <v>0</v>
      </c>
      <c r="AT23" s="130" t="s">
        <v>299</v>
      </c>
    </row>
    <row r="24" spans="1:46" s="139" customFormat="1" ht="120" customHeight="1">
      <c r="A24" s="66">
        <v>1010</v>
      </c>
      <c r="B24" s="127" t="s">
        <v>238</v>
      </c>
      <c r="C24" s="129" t="s">
        <v>243</v>
      </c>
      <c r="D24" s="126">
        <v>1</v>
      </c>
      <c r="E24" s="126">
        <v>2</v>
      </c>
      <c r="F24" s="130">
        <v>1</v>
      </c>
      <c r="G24" s="130">
        <v>200</v>
      </c>
      <c r="H24" s="126">
        <v>1009</v>
      </c>
      <c r="I24" s="126">
        <v>0</v>
      </c>
      <c r="J24" s="132">
        <v>10003</v>
      </c>
      <c r="K24" s="132" t="s">
        <v>275</v>
      </c>
      <c r="L24" s="132">
        <v>10003</v>
      </c>
      <c r="M24" s="132" t="s">
        <v>275</v>
      </c>
      <c r="N24" s="133"/>
      <c r="O24" s="130"/>
      <c r="P24" s="134"/>
      <c r="Q24" s="134"/>
      <c r="R24" s="135"/>
      <c r="S24" s="126">
        <v>1</v>
      </c>
      <c r="T24" s="126">
        <v>1</v>
      </c>
      <c r="U24" s="136"/>
      <c r="V24" s="126"/>
      <c r="W24" s="126"/>
      <c r="X24" s="140">
        <v>100</v>
      </c>
      <c r="Y24" s="138">
        <v>50</v>
      </c>
      <c r="Z24" s="138">
        <v>50</v>
      </c>
      <c r="AA24" s="138">
        <v>50</v>
      </c>
      <c r="AB24" s="67" t="s">
        <v>331</v>
      </c>
      <c r="AC24" s="126"/>
      <c r="AD24" s="130" t="s">
        <v>288</v>
      </c>
      <c r="AE24" s="129" t="s">
        <v>308</v>
      </c>
      <c r="AF24" s="129" t="s">
        <v>309</v>
      </c>
      <c r="AG24" s="129" t="s">
        <v>247</v>
      </c>
      <c r="AH24" s="130" t="s">
        <v>289</v>
      </c>
      <c r="AI24" s="130"/>
      <c r="AJ24" s="130"/>
      <c r="AK24" s="133" t="s">
        <v>290</v>
      </c>
      <c r="AL24" s="130" t="s">
        <v>297</v>
      </c>
      <c r="AM24" s="130"/>
      <c r="AN24" s="130">
        <v>1</v>
      </c>
      <c r="AO24" s="126">
        <v>0</v>
      </c>
      <c r="AP24" s="126">
        <v>1</v>
      </c>
      <c r="AQ24" s="126">
        <v>1</v>
      </c>
      <c r="AR24" s="130">
        <v>0</v>
      </c>
      <c r="AS24" s="126">
        <v>0</v>
      </c>
      <c r="AT24" s="130" t="str">
        <f t="shared" ref="AT24" si="5">"{s_taskTalk,{"&amp;J24&amp;","&amp;L24&amp;"}}"</f>
        <v>{s_taskTalk,{10003,10003}}</v>
      </c>
    </row>
    <row r="25" spans="1:46" s="139" customFormat="1" ht="120" customHeight="1">
      <c r="A25" s="126">
        <v>1011</v>
      </c>
      <c r="B25" s="127" t="s">
        <v>238</v>
      </c>
      <c r="C25" s="146" t="s">
        <v>332</v>
      </c>
      <c r="D25" s="126">
        <v>1</v>
      </c>
      <c r="E25" s="126">
        <v>2</v>
      </c>
      <c r="F25" s="130">
        <v>1</v>
      </c>
      <c r="G25" s="130">
        <v>200</v>
      </c>
      <c r="H25" s="126">
        <v>1010</v>
      </c>
      <c r="I25" s="126">
        <v>0</v>
      </c>
      <c r="J25" s="132">
        <v>10003</v>
      </c>
      <c r="K25" s="132" t="s">
        <v>275</v>
      </c>
      <c r="L25" s="132">
        <v>10003</v>
      </c>
      <c r="M25" s="132" t="s">
        <v>275</v>
      </c>
      <c r="N25" s="133"/>
      <c r="O25" s="130"/>
      <c r="P25" s="134"/>
      <c r="Q25" s="134"/>
      <c r="R25" s="135"/>
      <c r="S25" s="126">
        <v>1</v>
      </c>
      <c r="T25" s="126">
        <v>1</v>
      </c>
      <c r="U25" s="136"/>
      <c r="V25" s="126"/>
      <c r="W25" s="126"/>
      <c r="X25" s="140">
        <v>100</v>
      </c>
      <c r="Y25" s="138">
        <v>50</v>
      </c>
      <c r="Z25" s="138">
        <v>50</v>
      </c>
      <c r="AA25" s="138">
        <v>50</v>
      </c>
      <c r="AB25" s="67" t="s">
        <v>331</v>
      </c>
      <c r="AC25" s="126"/>
      <c r="AD25" s="130" t="s">
        <v>335</v>
      </c>
      <c r="AE25" s="129" t="s">
        <v>343</v>
      </c>
      <c r="AF25" s="129" t="s">
        <v>338</v>
      </c>
      <c r="AG25" s="129" t="s">
        <v>247</v>
      </c>
      <c r="AH25" s="130" t="s">
        <v>339</v>
      </c>
      <c r="AI25" s="130"/>
      <c r="AJ25" s="130"/>
      <c r="AK25" s="80" t="s">
        <v>340</v>
      </c>
      <c r="AL25" s="130" t="s">
        <v>341</v>
      </c>
      <c r="AM25" s="130"/>
      <c r="AN25" s="130">
        <v>1</v>
      </c>
      <c r="AO25" s="126">
        <v>0</v>
      </c>
      <c r="AP25" s="126">
        <v>1</v>
      </c>
      <c r="AQ25" s="126">
        <v>1</v>
      </c>
      <c r="AR25" s="130">
        <v>0</v>
      </c>
      <c r="AS25" s="126">
        <v>0</v>
      </c>
      <c r="AT25" s="130" t="str">
        <f t="shared" ref="AT25:AT26" si="6">"{s_taskTalk,{"&amp;J25&amp;","&amp;L25&amp;"}}"</f>
        <v>{s_taskTalk,{10003,10003}}</v>
      </c>
    </row>
    <row r="26" spans="1:46" s="139" customFormat="1" ht="120" customHeight="1">
      <c r="A26" s="66">
        <v>1012</v>
      </c>
      <c r="B26" s="127" t="s">
        <v>238</v>
      </c>
      <c r="C26" s="145" t="s">
        <v>333</v>
      </c>
      <c r="D26" s="126">
        <v>1</v>
      </c>
      <c r="E26" s="126">
        <v>2</v>
      </c>
      <c r="F26" s="130">
        <v>1</v>
      </c>
      <c r="G26" s="130">
        <v>200</v>
      </c>
      <c r="H26" s="126">
        <v>1011</v>
      </c>
      <c r="I26" s="126">
        <v>0</v>
      </c>
      <c r="J26" s="132">
        <v>10003</v>
      </c>
      <c r="K26" s="132" t="s">
        <v>275</v>
      </c>
      <c r="L26" s="132">
        <v>10004</v>
      </c>
      <c r="M26" s="85" t="s">
        <v>334</v>
      </c>
      <c r="N26" s="133"/>
      <c r="O26" s="130"/>
      <c r="P26" s="134"/>
      <c r="Q26" s="134"/>
      <c r="R26" s="135"/>
      <c r="S26" s="126">
        <v>1</v>
      </c>
      <c r="T26" s="126">
        <v>1</v>
      </c>
      <c r="U26" s="136"/>
      <c r="V26" s="126"/>
      <c r="W26" s="126"/>
      <c r="X26" s="140">
        <v>100</v>
      </c>
      <c r="Y26" s="138">
        <v>50</v>
      </c>
      <c r="Z26" s="138">
        <v>50</v>
      </c>
      <c r="AA26" s="138">
        <v>50</v>
      </c>
      <c r="AB26" s="67" t="s">
        <v>331</v>
      </c>
      <c r="AC26" s="126"/>
      <c r="AD26" s="130" t="s">
        <v>342</v>
      </c>
      <c r="AE26" s="129" t="s">
        <v>344</v>
      </c>
      <c r="AF26" s="129" t="s">
        <v>345</v>
      </c>
      <c r="AG26" s="129" t="s">
        <v>247</v>
      </c>
      <c r="AH26" s="130" t="s">
        <v>346</v>
      </c>
      <c r="AI26" s="130"/>
      <c r="AJ26" s="130"/>
      <c r="AK26" s="80" t="s">
        <v>347</v>
      </c>
      <c r="AL26" s="130" t="s">
        <v>348</v>
      </c>
      <c r="AM26" s="130"/>
      <c r="AN26" s="130">
        <v>1</v>
      </c>
      <c r="AO26" s="126">
        <v>0</v>
      </c>
      <c r="AP26" s="126">
        <v>1</v>
      </c>
      <c r="AQ26" s="126">
        <v>1</v>
      </c>
      <c r="AR26" s="130">
        <v>0</v>
      </c>
      <c r="AS26" s="126">
        <v>0</v>
      </c>
      <c r="AT26" s="130" t="str">
        <f t="shared" si="6"/>
        <v>{s_taskTalk,{10003,10004}}</v>
      </c>
    </row>
    <row r="27" spans="1:46" s="139" customFormat="1" ht="120" customHeight="1">
      <c r="A27" s="126">
        <v>1013</v>
      </c>
      <c r="B27" s="129" t="s">
        <v>93</v>
      </c>
      <c r="C27" s="147" t="s">
        <v>349</v>
      </c>
      <c r="D27" s="130">
        <v>1</v>
      </c>
      <c r="E27" s="130">
        <v>2</v>
      </c>
      <c r="F27" s="130">
        <v>1</v>
      </c>
      <c r="G27" s="130">
        <v>200</v>
      </c>
      <c r="H27" s="126">
        <v>1012</v>
      </c>
      <c r="I27" s="130">
        <v>0</v>
      </c>
      <c r="J27" s="132">
        <v>10004</v>
      </c>
      <c r="K27" s="85" t="s">
        <v>334</v>
      </c>
      <c r="L27" s="132">
        <v>10004</v>
      </c>
      <c r="M27" s="85" t="s">
        <v>334</v>
      </c>
      <c r="N27" s="130"/>
      <c r="O27" s="130"/>
      <c r="P27" s="130"/>
      <c r="Q27" s="142">
        <v>10010</v>
      </c>
      <c r="R27" s="130"/>
      <c r="S27" s="130">
        <v>1</v>
      </c>
      <c r="T27" s="130">
        <v>0</v>
      </c>
      <c r="U27" s="130"/>
      <c r="V27" s="130"/>
      <c r="W27" s="130"/>
      <c r="X27" s="137">
        <v>1000</v>
      </c>
      <c r="Y27" s="138">
        <v>50</v>
      </c>
      <c r="Z27" s="138">
        <v>50</v>
      </c>
      <c r="AA27" s="138">
        <v>50</v>
      </c>
      <c r="AB27" s="130"/>
      <c r="AC27" s="130"/>
      <c r="AD27" s="130" t="s">
        <v>356</v>
      </c>
      <c r="AE27" s="129" t="s">
        <v>357</v>
      </c>
      <c r="AF27" s="129" t="s">
        <v>362</v>
      </c>
      <c r="AG27" s="129" t="s">
        <v>365</v>
      </c>
      <c r="AH27" s="67" t="s">
        <v>364</v>
      </c>
      <c r="AI27" s="130"/>
      <c r="AJ27" s="130"/>
      <c r="AK27" s="130" t="s">
        <v>366</v>
      </c>
      <c r="AL27" s="130" t="s">
        <v>367</v>
      </c>
      <c r="AM27" s="130"/>
      <c r="AN27" s="126">
        <v>1</v>
      </c>
      <c r="AO27" s="126">
        <v>0</v>
      </c>
      <c r="AP27" s="126">
        <v>1</v>
      </c>
      <c r="AQ27" s="126">
        <v>1</v>
      </c>
      <c r="AR27" s="130">
        <v>0</v>
      </c>
      <c r="AS27" s="126">
        <v>0</v>
      </c>
      <c r="AT27" s="130" t="s">
        <v>375</v>
      </c>
    </row>
    <row r="28" spans="1:46" s="60" customFormat="1" ht="120" customHeight="1">
      <c r="A28" s="66">
        <v>1014</v>
      </c>
      <c r="B28" s="102" t="s">
        <v>241</v>
      </c>
      <c r="C28" s="147" t="s">
        <v>350</v>
      </c>
      <c r="D28" s="126">
        <v>1</v>
      </c>
      <c r="E28" s="126">
        <v>2</v>
      </c>
      <c r="F28" s="130">
        <v>1</v>
      </c>
      <c r="G28" s="130">
        <v>200</v>
      </c>
      <c r="H28" s="126">
        <v>1013</v>
      </c>
      <c r="I28" s="67">
        <v>0</v>
      </c>
      <c r="J28" s="132">
        <v>10004</v>
      </c>
      <c r="K28" s="85" t="s">
        <v>334</v>
      </c>
      <c r="L28" s="132">
        <v>10004</v>
      </c>
      <c r="M28" s="85" t="s">
        <v>334</v>
      </c>
      <c r="N28" s="80"/>
      <c r="O28" s="71">
        <v>10011</v>
      </c>
      <c r="P28" s="81"/>
      <c r="Q28" s="81"/>
      <c r="R28" s="93"/>
      <c r="S28" s="67">
        <v>1</v>
      </c>
      <c r="T28" s="67">
        <v>0</v>
      </c>
      <c r="U28" s="96"/>
      <c r="V28" s="67"/>
      <c r="W28" s="67"/>
      <c r="X28" s="140">
        <v>100</v>
      </c>
      <c r="Y28" s="138">
        <v>50</v>
      </c>
      <c r="Z28" s="138">
        <v>50</v>
      </c>
      <c r="AA28" s="138">
        <v>50</v>
      </c>
      <c r="AB28" s="67" t="s">
        <v>330</v>
      </c>
      <c r="AC28" s="67"/>
      <c r="AD28" s="130" t="s">
        <v>355</v>
      </c>
      <c r="AE28" s="143" t="s">
        <v>358</v>
      </c>
      <c r="AF28" s="143" t="s">
        <v>361</v>
      </c>
      <c r="AG28" s="143" t="s">
        <v>363</v>
      </c>
      <c r="AH28" s="148" t="s">
        <v>370</v>
      </c>
      <c r="AI28" s="71"/>
      <c r="AJ28" s="71"/>
      <c r="AK28" s="80" t="s">
        <v>371</v>
      </c>
      <c r="AL28" s="130" t="s">
        <v>368</v>
      </c>
      <c r="AM28" s="71"/>
      <c r="AN28" s="130">
        <v>1</v>
      </c>
      <c r="AO28" s="130">
        <v>0</v>
      </c>
      <c r="AP28" s="130">
        <v>1</v>
      </c>
      <c r="AQ28" s="130">
        <v>1</v>
      </c>
      <c r="AR28" s="130">
        <v>0</v>
      </c>
      <c r="AS28" s="130">
        <v>0</v>
      </c>
      <c r="AT28" s="130" t="str">
        <f t="shared" ref="AT28" si="7">"{s_taskTalk,{"&amp;J28&amp;","&amp;L28&amp;"}}"</f>
        <v>{s_taskTalk,{10004,10004}}</v>
      </c>
    </row>
    <row r="29" spans="1:46" s="139" customFormat="1" ht="120" customHeight="1">
      <c r="A29" s="126">
        <v>1015</v>
      </c>
      <c r="B29" s="129" t="s">
        <v>93</v>
      </c>
      <c r="C29" s="147" t="s">
        <v>351</v>
      </c>
      <c r="D29" s="130">
        <v>1</v>
      </c>
      <c r="E29" s="130">
        <v>2</v>
      </c>
      <c r="F29" s="130">
        <v>1</v>
      </c>
      <c r="G29" s="130">
        <v>200</v>
      </c>
      <c r="H29" s="126">
        <v>1014</v>
      </c>
      <c r="I29" s="130">
        <v>0</v>
      </c>
      <c r="J29" s="132">
        <v>10004</v>
      </c>
      <c r="K29" s="85" t="s">
        <v>334</v>
      </c>
      <c r="L29" s="132">
        <v>10004</v>
      </c>
      <c r="M29" s="85" t="s">
        <v>334</v>
      </c>
      <c r="N29" s="130"/>
      <c r="O29" s="130"/>
      <c r="P29" s="130"/>
      <c r="Q29" s="142">
        <v>10012</v>
      </c>
      <c r="R29" s="130"/>
      <c r="S29" s="130">
        <v>1</v>
      </c>
      <c r="T29" s="130">
        <v>0</v>
      </c>
      <c r="U29" s="130"/>
      <c r="V29" s="130"/>
      <c r="W29" s="130"/>
      <c r="X29" s="137">
        <v>1000</v>
      </c>
      <c r="Y29" s="138">
        <v>50</v>
      </c>
      <c r="Z29" s="138">
        <v>50</v>
      </c>
      <c r="AA29" s="138">
        <v>50</v>
      </c>
      <c r="AB29" s="130"/>
      <c r="AC29" s="130"/>
      <c r="AD29" s="130" t="s">
        <v>354</v>
      </c>
      <c r="AE29" s="129" t="s">
        <v>359</v>
      </c>
      <c r="AF29" s="129" t="s">
        <v>360</v>
      </c>
      <c r="AG29" s="129" t="s">
        <v>277</v>
      </c>
      <c r="AH29" s="67" t="s">
        <v>372</v>
      </c>
      <c r="AI29" s="130"/>
      <c r="AJ29" s="130"/>
      <c r="AK29" s="130" t="s">
        <v>373</v>
      </c>
      <c r="AL29" s="130" t="s">
        <v>369</v>
      </c>
      <c r="AM29" s="130"/>
      <c r="AN29" s="126">
        <v>1</v>
      </c>
      <c r="AO29" s="126">
        <v>0</v>
      </c>
      <c r="AP29" s="126">
        <v>1</v>
      </c>
      <c r="AQ29" s="126">
        <v>1</v>
      </c>
      <c r="AR29" s="130">
        <v>0</v>
      </c>
      <c r="AS29" s="126">
        <v>0</v>
      </c>
      <c r="AT29" s="130" t="s">
        <v>374</v>
      </c>
    </row>
    <row r="30" spans="1:46" s="139" customFormat="1" ht="120" customHeight="1">
      <c r="A30" s="66">
        <v>1016</v>
      </c>
      <c r="B30" s="102" t="s">
        <v>376</v>
      </c>
      <c r="C30" s="147" t="s">
        <v>377</v>
      </c>
      <c r="D30" s="126">
        <v>1</v>
      </c>
      <c r="E30" s="126">
        <v>2</v>
      </c>
      <c r="F30" s="130">
        <v>1</v>
      </c>
      <c r="G30" s="130">
        <v>200</v>
      </c>
      <c r="H30" s="126">
        <v>1015</v>
      </c>
      <c r="I30" s="126">
        <v>0</v>
      </c>
      <c r="J30" s="132">
        <v>10004</v>
      </c>
      <c r="K30" s="85" t="s">
        <v>334</v>
      </c>
      <c r="L30" s="132">
        <v>10004</v>
      </c>
      <c r="M30" s="85" t="s">
        <v>334</v>
      </c>
      <c r="N30" s="133"/>
      <c r="O30" s="130"/>
      <c r="P30" s="134"/>
      <c r="Q30" s="134"/>
      <c r="R30" s="135"/>
      <c r="S30" s="126">
        <v>1</v>
      </c>
      <c r="T30" s="126">
        <v>1</v>
      </c>
      <c r="U30" s="136"/>
      <c r="V30" s="126"/>
      <c r="W30" s="126"/>
      <c r="X30" s="140">
        <v>100</v>
      </c>
      <c r="Y30" s="138">
        <v>50</v>
      </c>
      <c r="Z30" s="138">
        <v>50</v>
      </c>
      <c r="AA30" s="138">
        <v>50</v>
      </c>
      <c r="AB30" s="67" t="s">
        <v>331</v>
      </c>
      <c r="AC30" s="126"/>
      <c r="AD30" s="130" t="s">
        <v>416</v>
      </c>
      <c r="AE30" s="129" t="s">
        <v>418</v>
      </c>
      <c r="AF30" s="129" t="s">
        <v>417</v>
      </c>
      <c r="AG30" s="129" t="s">
        <v>419</v>
      </c>
      <c r="AH30" s="130" t="s">
        <v>420</v>
      </c>
      <c r="AI30" s="130"/>
      <c r="AJ30" s="130"/>
      <c r="AK30" s="80" t="s">
        <v>422</v>
      </c>
      <c r="AL30" s="130" t="s">
        <v>423</v>
      </c>
      <c r="AM30" s="130"/>
      <c r="AN30" s="130">
        <v>1</v>
      </c>
      <c r="AO30" s="126">
        <v>0</v>
      </c>
      <c r="AP30" s="126">
        <v>1</v>
      </c>
      <c r="AQ30" s="126">
        <v>1</v>
      </c>
      <c r="AR30" s="130">
        <v>0</v>
      </c>
      <c r="AS30" s="126">
        <v>0</v>
      </c>
      <c r="AT30" s="130" t="str">
        <f t="shared" ref="AT30:AT33" si="8">"{s_taskTalk,{"&amp;J30&amp;","&amp;L30&amp;"}}"</f>
        <v>{s_taskTalk,{10004,10004}}</v>
      </c>
    </row>
    <row r="31" spans="1:46" s="139" customFormat="1" ht="120" customHeight="1">
      <c r="A31" s="126">
        <v>1017</v>
      </c>
      <c r="B31" s="127" t="s">
        <v>238</v>
      </c>
      <c r="C31" s="147" t="s">
        <v>378</v>
      </c>
      <c r="D31" s="126">
        <v>1</v>
      </c>
      <c r="E31" s="126">
        <v>2</v>
      </c>
      <c r="F31" s="130">
        <v>1</v>
      </c>
      <c r="G31" s="130">
        <v>200</v>
      </c>
      <c r="H31" s="126">
        <v>1016</v>
      </c>
      <c r="I31" s="126">
        <v>0</v>
      </c>
      <c r="J31" s="132">
        <v>10004</v>
      </c>
      <c r="K31" s="85" t="s">
        <v>334</v>
      </c>
      <c r="L31" s="132">
        <v>10003</v>
      </c>
      <c r="M31" s="132" t="s">
        <v>275</v>
      </c>
      <c r="N31" s="133"/>
      <c r="O31" s="130"/>
      <c r="P31" s="134"/>
      <c r="Q31" s="134"/>
      <c r="R31" s="135"/>
      <c r="S31" s="126">
        <v>1</v>
      </c>
      <c r="T31" s="126">
        <v>1</v>
      </c>
      <c r="U31" s="136"/>
      <c r="V31" s="126"/>
      <c r="W31" s="126"/>
      <c r="X31" s="140">
        <v>100</v>
      </c>
      <c r="Y31" s="138">
        <v>50</v>
      </c>
      <c r="Z31" s="138">
        <v>50</v>
      </c>
      <c r="AA31" s="138">
        <v>50</v>
      </c>
      <c r="AB31" s="67" t="s">
        <v>331</v>
      </c>
      <c r="AC31" s="126"/>
      <c r="AD31" s="130" t="s">
        <v>408</v>
      </c>
      <c r="AE31" s="129" t="s">
        <v>409</v>
      </c>
      <c r="AF31" s="129" t="s">
        <v>411</v>
      </c>
      <c r="AG31" s="129" t="s">
        <v>412</v>
      </c>
      <c r="AH31" s="130" t="s">
        <v>413</v>
      </c>
      <c r="AI31" s="130"/>
      <c r="AJ31" s="130"/>
      <c r="AK31" s="80" t="s">
        <v>414</v>
      </c>
      <c r="AL31" s="130" t="s">
        <v>415</v>
      </c>
      <c r="AM31" s="130"/>
      <c r="AN31" s="130">
        <v>1</v>
      </c>
      <c r="AO31" s="126">
        <v>0</v>
      </c>
      <c r="AP31" s="126">
        <v>1</v>
      </c>
      <c r="AQ31" s="126">
        <v>1</v>
      </c>
      <c r="AR31" s="130">
        <v>0</v>
      </c>
      <c r="AS31" s="126">
        <v>0</v>
      </c>
      <c r="AT31" s="130" t="str">
        <f t="shared" si="8"/>
        <v>{s_taskTalk,{10004,10003}}</v>
      </c>
    </row>
    <row r="32" spans="1:46" s="139" customFormat="1" ht="120" customHeight="1">
      <c r="A32" s="66">
        <v>1018</v>
      </c>
      <c r="B32" s="127" t="s">
        <v>238</v>
      </c>
      <c r="C32" s="147" t="s">
        <v>381</v>
      </c>
      <c r="D32" s="126">
        <v>1</v>
      </c>
      <c r="E32" s="126">
        <v>2</v>
      </c>
      <c r="F32" s="130">
        <v>1</v>
      </c>
      <c r="G32" s="130">
        <v>200</v>
      </c>
      <c r="H32" s="126">
        <v>1017</v>
      </c>
      <c r="I32" s="126">
        <v>0</v>
      </c>
      <c r="J32" s="132">
        <v>10003</v>
      </c>
      <c r="K32" s="132" t="s">
        <v>275</v>
      </c>
      <c r="L32" s="132">
        <v>10002</v>
      </c>
      <c r="M32" s="85" t="s">
        <v>259</v>
      </c>
      <c r="N32" s="133"/>
      <c r="O32" s="130"/>
      <c r="P32" s="134"/>
      <c r="Q32" s="134"/>
      <c r="R32" s="135"/>
      <c r="S32" s="126">
        <v>1</v>
      </c>
      <c r="T32" s="126">
        <v>1</v>
      </c>
      <c r="U32" s="136"/>
      <c r="V32" s="126"/>
      <c r="W32" s="126"/>
      <c r="X32" s="140">
        <v>100</v>
      </c>
      <c r="Y32" s="138">
        <v>50</v>
      </c>
      <c r="Z32" s="138">
        <v>50</v>
      </c>
      <c r="AA32" s="138">
        <v>50</v>
      </c>
      <c r="AB32" s="67" t="s">
        <v>331</v>
      </c>
      <c r="AC32" s="126"/>
      <c r="AD32" s="130" t="s">
        <v>403</v>
      </c>
      <c r="AE32" s="129" t="s">
        <v>404</v>
      </c>
      <c r="AF32" s="129" t="s">
        <v>405</v>
      </c>
      <c r="AG32" s="129" t="s">
        <v>247</v>
      </c>
      <c r="AH32" s="130" t="s">
        <v>406</v>
      </c>
      <c r="AI32" s="130"/>
      <c r="AJ32" s="130"/>
      <c r="AK32" s="80" t="s">
        <v>421</v>
      </c>
      <c r="AL32" s="130" t="s">
        <v>407</v>
      </c>
      <c r="AM32" s="130"/>
      <c r="AN32" s="130">
        <v>1</v>
      </c>
      <c r="AO32" s="126">
        <v>0</v>
      </c>
      <c r="AP32" s="126">
        <v>1</v>
      </c>
      <c r="AQ32" s="126">
        <v>1</v>
      </c>
      <c r="AR32" s="130">
        <v>0</v>
      </c>
      <c r="AS32" s="126">
        <v>0</v>
      </c>
      <c r="AT32" s="130" t="str">
        <f t="shared" si="8"/>
        <v>{s_taskTalk,{10003,10002}}</v>
      </c>
    </row>
    <row r="33" spans="1:46" s="139" customFormat="1" ht="120" customHeight="1">
      <c r="A33" s="126">
        <v>1019</v>
      </c>
      <c r="B33" s="127" t="s">
        <v>238</v>
      </c>
      <c r="C33" s="147" t="s">
        <v>379</v>
      </c>
      <c r="D33" s="126">
        <v>1</v>
      </c>
      <c r="E33" s="126">
        <v>2</v>
      </c>
      <c r="F33" s="130">
        <v>1</v>
      </c>
      <c r="G33" s="130">
        <v>200</v>
      </c>
      <c r="H33" s="126">
        <v>1018</v>
      </c>
      <c r="I33" s="126">
        <v>0</v>
      </c>
      <c r="J33" s="132">
        <v>10002</v>
      </c>
      <c r="K33" s="85" t="s">
        <v>259</v>
      </c>
      <c r="L33" s="132">
        <v>10005</v>
      </c>
      <c r="M33" s="85" t="s">
        <v>380</v>
      </c>
      <c r="N33" s="133"/>
      <c r="O33" s="130"/>
      <c r="P33" s="134"/>
      <c r="Q33" s="134"/>
      <c r="R33" s="135"/>
      <c r="S33" s="126">
        <v>1</v>
      </c>
      <c r="T33" s="126">
        <v>1</v>
      </c>
      <c r="U33" s="136"/>
      <c r="V33" s="126"/>
      <c r="W33" s="126"/>
      <c r="X33" s="140">
        <v>100</v>
      </c>
      <c r="Y33" s="138">
        <v>50</v>
      </c>
      <c r="Z33" s="138">
        <v>50</v>
      </c>
      <c r="AA33" s="138">
        <v>50</v>
      </c>
      <c r="AB33" s="67" t="s">
        <v>331</v>
      </c>
      <c r="AC33" s="126"/>
      <c r="AD33" s="130" t="s">
        <v>397</v>
      </c>
      <c r="AE33" s="129" t="s">
        <v>398</v>
      </c>
      <c r="AF33" s="129" t="s">
        <v>399</v>
      </c>
      <c r="AG33" s="129" t="s">
        <v>247</v>
      </c>
      <c r="AH33" s="130" t="s">
        <v>400</v>
      </c>
      <c r="AI33" s="130"/>
      <c r="AJ33" s="130"/>
      <c r="AK33" s="80" t="s">
        <v>401</v>
      </c>
      <c r="AL33" s="130" t="s">
        <v>402</v>
      </c>
      <c r="AM33" s="130"/>
      <c r="AN33" s="130">
        <v>1</v>
      </c>
      <c r="AO33" s="126">
        <v>0</v>
      </c>
      <c r="AP33" s="126">
        <v>1</v>
      </c>
      <c r="AQ33" s="126">
        <v>1</v>
      </c>
      <c r="AR33" s="130">
        <v>0</v>
      </c>
      <c r="AS33" s="126">
        <v>0</v>
      </c>
      <c r="AT33" s="130" t="str">
        <f t="shared" si="8"/>
        <v>{s_taskTalk,{10002,10005}}</v>
      </c>
    </row>
    <row r="34" spans="1:46" s="139" customFormat="1" ht="120" customHeight="1">
      <c r="A34" s="66">
        <v>1020</v>
      </c>
      <c r="B34" s="129" t="s">
        <v>93</v>
      </c>
      <c r="C34" s="147" t="s">
        <v>382</v>
      </c>
      <c r="D34" s="130">
        <v>1</v>
      </c>
      <c r="E34" s="130">
        <v>2</v>
      </c>
      <c r="F34" s="130">
        <v>1</v>
      </c>
      <c r="G34" s="130">
        <v>200</v>
      </c>
      <c r="H34" s="126">
        <v>1019</v>
      </c>
      <c r="I34" s="130">
        <v>0</v>
      </c>
      <c r="J34" s="132">
        <v>10005</v>
      </c>
      <c r="K34" s="85" t="s">
        <v>380</v>
      </c>
      <c r="L34" s="132">
        <v>10005</v>
      </c>
      <c r="M34" s="85" t="s">
        <v>380</v>
      </c>
      <c r="N34" s="130"/>
      <c r="O34" s="130"/>
      <c r="P34" s="130"/>
      <c r="Q34" s="142">
        <v>10013</v>
      </c>
      <c r="R34" s="130"/>
      <c r="S34" s="130">
        <v>1</v>
      </c>
      <c r="T34" s="130">
        <v>0</v>
      </c>
      <c r="U34" s="130"/>
      <c r="V34" s="130"/>
      <c r="W34" s="130"/>
      <c r="X34" s="137">
        <v>1000</v>
      </c>
      <c r="Y34" s="138">
        <v>50</v>
      </c>
      <c r="Z34" s="138">
        <v>50</v>
      </c>
      <c r="AA34" s="138">
        <v>50</v>
      </c>
      <c r="AB34" s="130"/>
      <c r="AC34" s="130"/>
      <c r="AD34" s="130" t="s">
        <v>389</v>
      </c>
      <c r="AE34" s="129" t="s">
        <v>390</v>
      </c>
      <c r="AF34" s="129" t="s">
        <v>391</v>
      </c>
      <c r="AG34" s="129" t="s">
        <v>392</v>
      </c>
      <c r="AH34" s="67" t="s">
        <v>393</v>
      </c>
      <c r="AI34" s="130"/>
      <c r="AJ34" s="130"/>
      <c r="AK34" s="130" t="s">
        <v>394</v>
      </c>
      <c r="AL34" s="130" t="s">
        <v>395</v>
      </c>
      <c r="AM34" s="130"/>
      <c r="AN34" s="126">
        <v>1</v>
      </c>
      <c r="AO34" s="126">
        <v>0</v>
      </c>
      <c r="AP34" s="126">
        <v>1</v>
      </c>
      <c r="AQ34" s="126">
        <v>1</v>
      </c>
      <c r="AR34" s="130">
        <v>0</v>
      </c>
      <c r="AS34" s="126">
        <v>0</v>
      </c>
      <c r="AT34" s="130" t="s">
        <v>396</v>
      </c>
    </row>
    <row r="35" spans="1:46" s="139" customFormat="1" ht="120" customHeight="1">
      <c r="A35" s="126">
        <v>1021</v>
      </c>
      <c r="B35" s="127" t="s">
        <v>238</v>
      </c>
      <c r="C35" s="147" t="s">
        <v>383</v>
      </c>
      <c r="D35" s="126">
        <v>1</v>
      </c>
      <c r="E35" s="126">
        <v>2</v>
      </c>
      <c r="F35" s="130">
        <v>1</v>
      </c>
      <c r="G35" s="130">
        <v>200</v>
      </c>
      <c r="H35" s="126">
        <v>1020</v>
      </c>
      <c r="I35" s="126">
        <v>0</v>
      </c>
      <c r="J35" s="132">
        <v>10005</v>
      </c>
      <c r="K35" s="85" t="s">
        <v>380</v>
      </c>
      <c r="L35" s="132">
        <v>10005</v>
      </c>
      <c r="M35" s="85" t="s">
        <v>380</v>
      </c>
      <c r="N35" s="133"/>
      <c r="O35" s="130"/>
      <c r="P35" s="134"/>
      <c r="Q35" s="134"/>
      <c r="R35" s="135"/>
      <c r="S35" s="126">
        <v>1</v>
      </c>
      <c r="T35" s="126">
        <v>1</v>
      </c>
      <c r="U35" s="136"/>
      <c r="V35" s="126"/>
      <c r="W35" s="126"/>
      <c r="X35" s="140">
        <v>100</v>
      </c>
      <c r="Y35" s="138">
        <v>50</v>
      </c>
      <c r="Z35" s="138">
        <v>50</v>
      </c>
      <c r="AA35" s="138">
        <v>50</v>
      </c>
      <c r="AB35" s="67" t="s">
        <v>331</v>
      </c>
      <c r="AC35" s="126"/>
      <c r="AD35" s="130" t="s">
        <v>384</v>
      </c>
      <c r="AE35" s="129" t="s">
        <v>385</v>
      </c>
      <c r="AF35" s="129" t="s">
        <v>410</v>
      </c>
      <c r="AG35" s="129" t="s">
        <v>247</v>
      </c>
      <c r="AH35" s="130" t="s">
        <v>386</v>
      </c>
      <c r="AI35" s="130"/>
      <c r="AJ35" s="130"/>
      <c r="AK35" s="80" t="s">
        <v>387</v>
      </c>
      <c r="AL35" s="130" t="s">
        <v>388</v>
      </c>
      <c r="AM35" s="130"/>
      <c r="AN35" s="130">
        <v>1</v>
      </c>
      <c r="AO35" s="126">
        <v>0</v>
      </c>
      <c r="AP35" s="126">
        <v>1</v>
      </c>
      <c r="AQ35" s="126">
        <v>1</v>
      </c>
      <c r="AR35" s="130">
        <v>0</v>
      </c>
      <c r="AS35" s="126">
        <v>0</v>
      </c>
      <c r="AT35" s="130" t="str">
        <f t="shared" ref="AT35" si="9">"{s_taskTalk,{"&amp;J35&amp;","&amp;L35&amp;"}}"</f>
        <v>{s_taskTalk,{10005,10005}}</v>
      </c>
    </row>
    <row r="36" spans="1:46" s="60" customFormat="1" ht="120" customHeight="1">
      <c r="A36" s="66"/>
      <c r="B36" s="70"/>
      <c r="C36" s="70"/>
      <c r="D36" s="71"/>
      <c r="E36" s="71"/>
      <c r="F36" s="71"/>
      <c r="G36" s="71"/>
      <c r="H36" s="67"/>
      <c r="I36" s="71"/>
      <c r="J36" s="84"/>
      <c r="K36" s="85"/>
      <c r="L36" s="84"/>
      <c r="M36" s="85"/>
      <c r="N36" s="71"/>
      <c r="O36" s="71"/>
      <c r="P36" s="71"/>
      <c r="Q36" s="89"/>
      <c r="R36" s="71"/>
      <c r="S36" s="71"/>
      <c r="T36" s="71"/>
      <c r="U36" s="71"/>
      <c r="V36" s="71"/>
      <c r="W36" s="71"/>
      <c r="X36" s="97"/>
      <c r="Y36" s="104"/>
      <c r="Z36" s="104"/>
      <c r="AA36" s="104"/>
      <c r="AB36" s="96"/>
      <c r="AC36" s="71"/>
      <c r="AD36" s="78"/>
      <c r="AE36" s="70"/>
      <c r="AF36" s="70"/>
      <c r="AG36" s="77"/>
      <c r="AH36" s="67"/>
      <c r="AI36" s="71"/>
      <c r="AJ36" s="71"/>
      <c r="AK36" s="78"/>
      <c r="AL36" s="78"/>
      <c r="AM36" s="71"/>
      <c r="AN36" s="67"/>
      <c r="AO36" s="67"/>
      <c r="AP36" s="67"/>
      <c r="AQ36" s="67"/>
      <c r="AR36" s="71"/>
      <c r="AS36" s="67"/>
      <c r="AT36" s="105"/>
    </row>
    <row r="37" spans="1:46" s="60" customFormat="1" ht="120" customHeight="1">
      <c r="A37" s="66"/>
      <c r="B37" s="70"/>
      <c r="C37" s="70"/>
      <c r="D37" s="71"/>
      <c r="E37" s="71"/>
      <c r="F37" s="71"/>
      <c r="G37" s="71"/>
      <c r="H37" s="67"/>
      <c r="I37" s="71"/>
      <c r="J37" s="84"/>
      <c r="K37" s="85"/>
      <c r="L37" s="84"/>
      <c r="M37" s="85"/>
      <c r="N37" s="71"/>
      <c r="O37" s="71"/>
      <c r="P37" s="71"/>
      <c r="Q37" s="89"/>
      <c r="R37" s="71"/>
      <c r="S37" s="71"/>
      <c r="T37" s="71"/>
      <c r="U37" s="71"/>
      <c r="V37" s="71"/>
      <c r="W37" s="71"/>
      <c r="X37" s="97"/>
      <c r="Y37" s="104"/>
      <c r="Z37" s="104"/>
      <c r="AA37" s="104"/>
      <c r="AB37" s="96"/>
      <c r="AC37" s="71"/>
      <c r="AD37" s="78"/>
      <c r="AE37" s="70"/>
      <c r="AF37" s="70"/>
      <c r="AG37" s="77"/>
      <c r="AH37" s="67"/>
      <c r="AI37" s="71"/>
      <c r="AJ37" s="71"/>
      <c r="AK37" s="78"/>
      <c r="AL37" s="78"/>
      <c r="AM37" s="71"/>
      <c r="AN37" s="67"/>
      <c r="AO37" s="67"/>
      <c r="AP37" s="67"/>
      <c r="AQ37" s="67"/>
      <c r="AR37" s="71"/>
      <c r="AS37" s="67"/>
      <c r="AT37" s="105"/>
    </row>
    <row r="38" spans="1:46" s="60" customFormat="1" ht="120" customHeight="1">
      <c r="A38" s="66"/>
      <c r="B38" s="70"/>
      <c r="C38" s="70"/>
      <c r="D38" s="71"/>
      <c r="E38" s="71"/>
      <c r="F38" s="71"/>
      <c r="G38" s="71"/>
      <c r="H38" s="67"/>
      <c r="I38" s="71"/>
      <c r="J38" s="84"/>
      <c r="K38" s="85"/>
      <c r="L38" s="84"/>
      <c r="M38" s="85"/>
      <c r="N38" s="71"/>
      <c r="O38" s="89"/>
      <c r="P38" s="71"/>
      <c r="Q38" s="89"/>
      <c r="R38" s="71"/>
      <c r="S38" s="71"/>
      <c r="T38" s="71"/>
      <c r="U38" s="71"/>
      <c r="V38" s="71"/>
      <c r="W38" s="71"/>
      <c r="X38" s="97"/>
      <c r="Y38" s="104"/>
      <c r="Z38" s="104"/>
      <c r="AA38" s="104"/>
      <c r="AB38" s="71"/>
      <c r="AC38" s="71"/>
      <c r="AD38" s="78"/>
      <c r="AE38" s="70"/>
      <c r="AF38" s="70"/>
      <c r="AG38" s="77"/>
      <c r="AH38" s="67"/>
      <c r="AI38" s="71"/>
      <c r="AJ38" s="71"/>
      <c r="AK38" s="78"/>
      <c r="AL38" s="78"/>
      <c r="AM38" s="67"/>
      <c r="AN38" s="67"/>
      <c r="AO38" s="67"/>
      <c r="AP38" s="67"/>
      <c r="AQ38" s="67"/>
      <c r="AR38" s="71"/>
      <c r="AS38" s="67"/>
      <c r="AT38" s="78"/>
    </row>
    <row r="39" spans="1:46" s="60" customFormat="1" ht="120" customHeight="1">
      <c r="A39" s="66"/>
      <c r="B39" s="77"/>
      <c r="C39" s="70"/>
      <c r="D39" s="71"/>
      <c r="E39" s="71"/>
      <c r="F39" s="71"/>
      <c r="G39" s="71"/>
      <c r="H39" s="67"/>
      <c r="I39" s="71"/>
      <c r="J39" s="84"/>
      <c r="K39" s="85"/>
      <c r="L39" s="84"/>
      <c r="M39" s="85"/>
      <c r="N39" s="71"/>
      <c r="O39" s="71"/>
      <c r="P39" s="71"/>
      <c r="Q39" s="89"/>
      <c r="R39" s="71"/>
      <c r="S39" s="71"/>
      <c r="T39" s="71"/>
      <c r="U39" s="71"/>
      <c r="V39" s="71"/>
      <c r="W39" s="71"/>
      <c r="X39" s="97"/>
      <c r="Y39" s="104"/>
      <c r="Z39" s="104"/>
      <c r="AA39" s="104"/>
      <c r="AB39" s="81"/>
      <c r="AC39" s="71"/>
      <c r="AD39" s="78"/>
      <c r="AE39" s="70"/>
      <c r="AF39" s="70"/>
      <c r="AG39" s="70"/>
      <c r="AH39" s="67"/>
      <c r="AI39" s="71"/>
      <c r="AJ39" s="71"/>
      <c r="AK39" s="78"/>
      <c r="AL39" s="78"/>
      <c r="AM39" s="71"/>
      <c r="AN39" s="71"/>
      <c r="AO39" s="71"/>
      <c r="AP39" s="71"/>
      <c r="AQ39" s="71"/>
      <c r="AR39" s="71"/>
      <c r="AS39" s="71"/>
      <c r="AT39" s="105"/>
    </row>
    <row r="40" spans="1:46" s="60" customFormat="1" ht="120" customHeight="1">
      <c r="A40" s="66"/>
      <c r="B40" s="77"/>
      <c r="C40" s="70"/>
      <c r="D40" s="71"/>
      <c r="E40" s="71"/>
      <c r="F40" s="71"/>
      <c r="G40" s="71"/>
      <c r="H40" s="67"/>
      <c r="I40" s="71"/>
      <c r="J40" s="84"/>
      <c r="K40" s="85"/>
      <c r="L40" s="84"/>
      <c r="M40" s="85"/>
      <c r="N40" s="71"/>
      <c r="O40" s="71"/>
      <c r="P40" s="71"/>
      <c r="Q40" s="89"/>
      <c r="R40" s="71"/>
      <c r="S40" s="71"/>
      <c r="T40" s="71"/>
      <c r="U40" s="71"/>
      <c r="V40" s="71"/>
      <c r="W40" s="71"/>
      <c r="X40" s="97"/>
      <c r="Y40" s="104"/>
      <c r="Z40" s="104"/>
      <c r="AA40" s="104"/>
      <c r="AB40" s="81"/>
      <c r="AC40" s="71"/>
      <c r="AD40" s="78"/>
      <c r="AE40" s="70"/>
      <c r="AF40" s="70"/>
      <c r="AG40" s="77"/>
      <c r="AH40" s="67"/>
      <c r="AI40" s="71"/>
      <c r="AJ40" s="71"/>
      <c r="AK40" s="78"/>
      <c r="AL40" s="78"/>
      <c r="AM40" s="71"/>
      <c r="AN40" s="67"/>
      <c r="AO40" s="67"/>
      <c r="AP40" s="67"/>
      <c r="AQ40" s="67"/>
      <c r="AR40" s="71"/>
      <c r="AS40" s="67"/>
      <c r="AT40" s="105"/>
    </row>
    <row r="41" spans="1:46" s="60" customFormat="1" ht="120" customHeight="1">
      <c r="A41" s="66"/>
      <c r="B41" s="77"/>
      <c r="C41" s="70"/>
      <c r="D41" s="71"/>
      <c r="E41" s="71"/>
      <c r="F41" s="71"/>
      <c r="G41" s="71"/>
      <c r="H41" s="67"/>
      <c r="I41" s="71"/>
      <c r="J41" s="84"/>
      <c r="K41" s="85"/>
      <c r="L41" s="84"/>
      <c r="M41" s="85"/>
      <c r="N41" s="71"/>
      <c r="O41" s="71"/>
      <c r="P41" s="71"/>
      <c r="Q41" s="89"/>
      <c r="R41" s="71"/>
      <c r="S41" s="71"/>
      <c r="T41" s="71"/>
      <c r="U41" s="71"/>
      <c r="V41" s="71"/>
      <c r="W41" s="71"/>
      <c r="X41" s="97"/>
      <c r="Y41" s="104"/>
      <c r="Z41" s="104"/>
      <c r="AA41" s="104"/>
      <c r="AB41" s="81"/>
      <c r="AC41" s="71"/>
      <c r="AD41" s="78"/>
      <c r="AE41" s="70"/>
      <c r="AF41" s="70"/>
      <c r="AG41" s="70"/>
      <c r="AH41" s="67"/>
      <c r="AI41" s="71"/>
      <c r="AJ41" s="71"/>
      <c r="AK41" s="78"/>
      <c r="AL41" s="78"/>
      <c r="AM41" s="71"/>
      <c r="AN41" s="67"/>
      <c r="AO41" s="67"/>
      <c r="AP41" s="67"/>
      <c r="AQ41" s="67"/>
      <c r="AR41" s="71"/>
      <c r="AS41" s="67"/>
      <c r="AT41" s="105"/>
    </row>
    <row r="42" spans="1:46" s="60" customFormat="1" ht="120" customHeight="1">
      <c r="A42" s="66"/>
      <c r="B42" s="70"/>
      <c r="C42" s="70"/>
      <c r="D42" s="71"/>
      <c r="E42" s="71"/>
      <c r="F42" s="71"/>
      <c r="G42" s="71"/>
      <c r="H42" s="67"/>
      <c r="I42" s="71"/>
      <c r="J42" s="84"/>
      <c r="K42" s="85"/>
      <c r="L42" s="84"/>
      <c r="M42" s="85"/>
      <c r="N42" s="71"/>
      <c r="O42" s="71"/>
      <c r="P42" s="71"/>
      <c r="Q42" s="89"/>
      <c r="R42" s="71"/>
      <c r="S42" s="71"/>
      <c r="T42" s="71"/>
      <c r="U42" s="71"/>
      <c r="V42" s="71"/>
      <c r="W42" s="71"/>
      <c r="X42" s="97"/>
      <c r="Y42" s="104"/>
      <c r="Z42" s="104"/>
      <c r="AA42" s="104"/>
      <c r="AB42" s="81"/>
      <c r="AC42" s="71"/>
      <c r="AD42" s="78"/>
      <c r="AE42" s="70"/>
      <c r="AF42" s="70"/>
      <c r="AG42" s="70"/>
      <c r="AH42" s="67"/>
      <c r="AI42" s="71"/>
      <c r="AJ42" s="71"/>
      <c r="AK42" s="78"/>
      <c r="AL42" s="78"/>
      <c r="AM42" s="71"/>
      <c r="AN42" s="67"/>
      <c r="AO42" s="67"/>
      <c r="AP42" s="67"/>
      <c r="AQ42" s="67"/>
      <c r="AR42" s="71"/>
      <c r="AS42" s="67"/>
      <c r="AT42" s="105"/>
    </row>
    <row r="43" spans="1:46" s="60" customFormat="1" ht="120" customHeight="1">
      <c r="A43" s="66"/>
      <c r="B43" s="77"/>
      <c r="C43" s="70"/>
      <c r="D43" s="71"/>
      <c r="E43" s="71"/>
      <c r="F43" s="71"/>
      <c r="G43" s="71"/>
      <c r="H43" s="67"/>
      <c r="I43" s="71"/>
      <c r="J43" s="84"/>
      <c r="K43" s="85"/>
      <c r="L43" s="84"/>
      <c r="M43" s="85"/>
      <c r="N43" s="71"/>
      <c r="O43" s="84"/>
      <c r="P43" s="71"/>
      <c r="Q43" s="84"/>
      <c r="R43" s="71"/>
      <c r="S43" s="71"/>
      <c r="T43" s="71"/>
      <c r="U43" s="71"/>
      <c r="V43" s="71"/>
      <c r="W43" s="71"/>
      <c r="X43" s="97"/>
      <c r="Y43" s="104"/>
      <c r="Z43" s="104"/>
      <c r="AA43" s="104"/>
      <c r="AB43" s="71"/>
      <c r="AC43" s="71"/>
      <c r="AD43" s="78"/>
      <c r="AE43" s="70"/>
      <c r="AF43" s="70"/>
      <c r="AG43" s="70"/>
      <c r="AH43" s="67"/>
      <c r="AI43" s="71"/>
      <c r="AJ43" s="71"/>
      <c r="AK43" s="78"/>
      <c r="AL43" s="78"/>
      <c r="AM43" s="71"/>
      <c r="AN43" s="67"/>
      <c r="AO43" s="67"/>
      <c r="AP43" s="67"/>
      <c r="AQ43" s="67"/>
      <c r="AR43" s="71"/>
      <c r="AS43" s="67"/>
      <c r="AT43" s="105"/>
    </row>
    <row r="44" spans="1:46" s="60" customFormat="1" ht="120" customHeight="1">
      <c r="A44" s="66"/>
      <c r="B44" s="70"/>
      <c r="C44" s="70"/>
      <c r="D44" s="71"/>
      <c r="E44" s="71"/>
      <c r="F44" s="71"/>
      <c r="G44" s="71"/>
      <c r="H44" s="67"/>
      <c r="I44" s="71"/>
      <c r="J44" s="84"/>
      <c r="K44" s="85"/>
      <c r="L44" s="84"/>
      <c r="M44" s="85"/>
      <c r="N44" s="71"/>
      <c r="O44" s="84"/>
      <c r="P44" s="71"/>
      <c r="Q44" s="84"/>
      <c r="R44" s="71"/>
      <c r="S44" s="71"/>
      <c r="T44" s="71"/>
      <c r="U44" s="71"/>
      <c r="V44" s="71"/>
      <c r="W44" s="71"/>
      <c r="X44" s="97"/>
      <c r="Y44" s="104"/>
      <c r="Z44" s="104"/>
      <c r="AA44" s="104"/>
      <c r="AB44" s="71"/>
      <c r="AC44" s="71"/>
      <c r="AD44" s="78"/>
      <c r="AE44" s="70"/>
      <c r="AF44" s="70"/>
      <c r="AG44" s="77"/>
      <c r="AH44" s="67"/>
      <c r="AI44" s="71"/>
      <c r="AJ44" s="71"/>
      <c r="AK44" s="78"/>
      <c r="AL44" s="78"/>
      <c r="AM44" s="71"/>
      <c r="AN44" s="67"/>
      <c r="AO44" s="67"/>
      <c r="AP44" s="67"/>
      <c r="AQ44" s="67"/>
      <c r="AR44" s="71"/>
      <c r="AS44" s="67"/>
      <c r="AT44" s="105"/>
    </row>
    <row r="45" spans="1:46" s="60" customFormat="1" ht="120" customHeight="1">
      <c r="A45" s="66"/>
      <c r="B45" s="77"/>
      <c r="C45" s="70"/>
      <c r="D45" s="71"/>
      <c r="E45" s="71"/>
      <c r="F45" s="71"/>
      <c r="G45" s="71"/>
      <c r="H45" s="67"/>
      <c r="I45" s="71"/>
      <c r="J45" s="84"/>
      <c r="K45" s="85"/>
      <c r="L45" s="84"/>
      <c r="M45" s="85"/>
      <c r="N45" s="71"/>
      <c r="O45" s="84"/>
      <c r="P45" s="71"/>
      <c r="Q45" s="89"/>
      <c r="R45" s="71"/>
      <c r="S45" s="71"/>
      <c r="T45" s="71"/>
      <c r="U45" s="71"/>
      <c r="V45" s="71"/>
      <c r="W45" s="71"/>
      <c r="X45" s="97"/>
      <c r="Y45" s="104"/>
      <c r="Z45" s="104"/>
      <c r="AA45" s="104"/>
      <c r="AB45" s="71"/>
      <c r="AC45" s="71"/>
      <c r="AD45" s="78"/>
      <c r="AE45" s="70"/>
      <c r="AF45" s="70"/>
      <c r="AG45" s="77"/>
      <c r="AH45" s="67"/>
      <c r="AI45" s="71"/>
      <c r="AJ45" s="71"/>
      <c r="AK45" s="78"/>
      <c r="AL45" s="78"/>
      <c r="AM45" s="71"/>
      <c r="AN45" s="67"/>
      <c r="AO45" s="67"/>
      <c r="AP45" s="67"/>
      <c r="AQ45" s="67"/>
      <c r="AR45" s="71"/>
      <c r="AS45" s="67"/>
      <c r="AT45" s="105"/>
    </row>
    <row r="46" spans="1:46" s="60" customFormat="1" ht="120" customHeight="1">
      <c r="A46" s="66"/>
      <c r="B46" s="77"/>
      <c r="C46" s="70"/>
      <c r="D46" s="71"/>
      <c r="E46" s="71"/>
      <c r="F46" s="71"/>
      <c r="G46" s="71"/>
      <c r="H46" s="67"/>
      <c r="I46" s="71"/>
      <c r="J46" s="84"/>
      <c r="K46" s="85"/>
      <c r="L46" s="84"/>
      <c r="M46" s="85"/>
      <c r="N46" s="71"/>
      <c r="O46" s="84"/>
      <c r="P46" s="71"/>
      <c r="Q46" s="89"/>
      <c r="R46" s="71"/>
      <c r="S46" s="71"/>
      <c r="T46" s="71"/>
      <c r="U46" s="71"/>
      <c r="V46" s="71"/>
      <c r="W46" s="71"/>
      <c r="X46" s="97"/>
      <c r="Y46" s="104"/>
      <c r="Z46" s="104"/>
      <c r="AA46" s="104"/>
      <c r="AB46" s="71"/>
      <c r="AC46" s="71"/>
      <c r="AD46" s="78"/>
      <c r="AE46" s="70"/>
      <c r="AF46" s="70"/>
      <c r="AG46" s="77"/>
      <c r="AH46" s="67"/>
      <c r="AI46" s="71"/>
      <c r="AJ46" s="71"/>
      <c r="AK46" s="78"/>
      <c r="AL46" s="78"/>
      <c r="AM46" s="78"/>
      <c r="AN46" s="67"/>
      <c r="AO46" s="67"/>
      <c r="AP46" s="67"/>
      <c r="AQ46" s="67"/>
      <c r="AR46" s="71"/>
      <c r="AS46" s="67"/>
      <c r="AT46" s="105"/>
    </row>
    <row r="47" spans="1:46" s="60" customFormat="1" ht="120" customHeight="1">
      <c r="A47" s="66"/>
      <c r="B47" s="77"/>
      <c r="C47" s="70"/>
      <c r="D47" s="71"/>
      <c r="E47" s="71"/>
      <c r="F47" s="71"/>
      <c r="G47" s="71"/>
      <c r="H47" s="67"/>
      <c r="I47" s="71"/>
      <c r="J47" s="90"/>
      <c r="K47" s="85"/>
      <c r="L47" s="90"/>
      <c r="M47" s="85"/>
      <c r="N47" s="71"/>
      <c r="O47" s="84"/>
      <c r="P47" s="71"/>
      <c r="Q47" s="89"/>
      <c r="R47" s="71"/>
      <c r="S47" s="71"/>
      <c r="T47" s="71"/>
      <c r="U47" s="71"/>
      <c r="V47" s="71"/>
      <c r="W47" s="71"/>
      <c r="X47" s="97"/>
      <c r="Y47" s="104"/>
      <c r="Z47" s="104"/>
      <c r="AA47" s="104"/>
      <c r="AB47" s="71"/>
      <c r="AC47" s="71"/>
      <c r="AD47" s="78"/>
      <c r="AE47" s="70"/>
      <c r="AF47" s="70"/>
      <c r="AG47" s="77"/>
      <c r="AH47" s="67"/>
      <c r="AI47" s="71"/>
      <c r="AJ47" s="71"/>
      <c r="AK47" s="78"/>
      <c r="AL47" s="78"/>
      <c r="AM47" s="71"/>
      <c r="AN47" s="67"/>
      <c r="AO47" s="67"/>
      <c r="AP47" s="67"/>
      <c r="AQ47" s="67"/>
      <c r="AR47" s="71"/>
      <c r="AS47" s="67"/>
      <c r="AT47" s="78"/>
    </row>
    <row r="48" spans="1:46" s="60" customFormat="1" ht="120" customHeight="1">
      <c r="A48" s="66"/>
      <c r="B48" s="77"/>
      <c r="C48" s="77"/>
      <c r="D48" s="71"/>
      <c r="E48" s="71"/>
      <c r="F48" s="71"/>
      <c r="G48" s="71"/>
      <c r="H48" s="67"/>
      <c r="I48" s="71"/>
      <c r="J48" s="90"/>
      <c r="K48" s="85"/>
      <c r="L48" s="90"/>
      <c r="M48" s="85"/>
      <c r="N48" s="71"/>
      <c r="O48" s="84"/>
      <c r="P48" s="71"/>
      <c r="Q48" s="89"/>
      <c r="R48" s="71"/>
      <c r="S48" s="71"/>
      <c r="T48" s="71"/>
      <c r="U48" s="71"/>
      <c r="V48" s="71"/>
      <c r="W48" s="71"/>
      <c r="X48" s="97"/>
      <c r="Y48" s="104"/>
      <c r="Z48" s="104"/>
      <c r="AA48" s="104"/>
      <c r="AB48" s="71"/>
      <c r="AC48" s="71"/>
      <c r="AD48" s="78"/>
      <c r="AE48" s="70"/>
      <c r="AF48" s="70"/>
      <c r="AG48" s="77"/>
      <c r="AH48" s="67"/>
      <c r="AI48" s="71"/>
      <c r="AJ48" s="71"/>
      <c r="AK48" s="78"/>
      <c r="AL48" s="78"/>
      <c r="AM48" s="71"/>
      <c r="AN48" s="67"/>
      <c r="AO48" s="67"/>
      <c r="AP48" s="67"/>
      <c r="AQ48" s="67"/>
      <c r="AR48" s="71"/>
      <c r="AS48" s="67"/>
      <c r="AT48" s="105"/>
    </row>
    <row r="49" spans="1:46" s="60" customFormat="1" ht="120" customHeight="1">
      <c r="A49" s="66"/>
      <c r="B49" s="77"/>
      <c r="C49" s="77"/>
      <c r="D49" s="71"/>
      <c r="E49" s="71"/>
      <c r="F49" s="71"/>
      <c r="G49" s="71"/>
      <c r="H49" s="67"/>
      <c r="I49" s="71"/>
      <c r="J49" s="84"/>
      <c r="K49" s="85"/>
      <c r="L49" s="84"/>
      <c r="M49" s="85"/>
      <c r="N49" s="71"/>
      <c r="O49" s="84"/>
      <c r="P49" s="71"/>
      <c r="Q49" s="89"/>
      <c r="R49" s="71"/>
      <c r="S49" s="71"/>
      <c r="T49" s="71"/>
      <c r="U49" s="71"/>
      <c r="V49" s="71"/>
      <c r="W49" s="71"/>
      <c r="X49" s="97"/>
      <c r="Y49" s="104"/>
      <c r="Z49" s="104"/>
      <c r="AA49" s="104"/>
      <c r="AB49" s="71"/>
      <c r="AC49" s="71"/>
      <c r="AD49" s="78"/>
      <c r="AE49" s="70"/>
      <c r="AF49" s="70"/>
      <c r="AG49" s="77"/>
      <c r="AH49" s="67"/>
      <c r="AI49" s="71"/>
      <c r="AJ49" s="71"/>
      <c r="AK49" s="78"/>
      <c r="AL49" s="78"/>
      <c r="AM49" s="71"/>
      <c r="AN49" s="67"/>
      <c r="AO49" s="67"/>
      <c r="AP49" s="67"/>
      <c r="AQ49" s="67"/>
      <c r="AR49" s="71"/>
      <c r="AS49" s="67"/>
      <c r="AT49" s="105"/>
    </row>
    <row r="50" spans="1:46" s="60" customFormat="1" ht="120" customHeight="1">
      <c r="A50" s="66"/>
      <c r="B50" s="70"/>
      <c r="C50" s="70"/>
      <c r="D50" s="71"/>
      <c r="E50" s="71"/>
      <c r="F50" s="71"/>
      <c r="G50" s="71"/>
      <c r="H50" s="67"/>
      <c r="I50" s="71"/>
      <c r="J50" s="84"/>
      <c r="K50" s="85"/>
      <c r="L50" s="84"/>
      <c r="M50" s="85"/>
      <c r="N50" s="71"/>
      <c r="O50" s="84"/>
      <c r="P50" s="71"/>
      <c r="Q50" s="89"/>
      <c r="R50" s="71"/>
      <c r="S50" s="71"/>
      <c r="T50" s="71"/>
      <c r="U50" s="71"/>
      <c r="V50" s="71"/>
      <c r="W50" s="71"/>
      <c r="X50" s="97"/>
      <c r="Y50" s="104"/>
      <c r="Z50" s="104"/>
      <c r="AA50" s="104"/>
      <c r="AB50" s="71"/>
      <c r="AC50" s="71"/>
      <c r="AD50" s="78"/>
      <c r="AE50" s="70"/>
      <c r="AF50" s="70"/>
      <c r="AG50" s="70"/>
      <c r="AH50" s="67"/>
      <c r="AI50" s="71"/>
      <c r="AJ50" s="71"/>
      <c r="AK50" s="78"/>
      <c r="AL50" s="78"/>
      <c r="AM50" s="67"/>
      <c r="AN50" s="67"/>
      <c r="AO50" s="67"/>
      <c r="AP50" s="67"/>
      <c r="AQ50" s="67"/>
      <c r="AR50" s="71"/>
      <c r="AS50" s="67"/>
      <c r="AT50" s="78"/>
    </row>
    <row r="51" spans="1:46" s="60" customFormat="1" ht="120" customHeight="1">
      <c r="A51" s="66"/>
      <c r="B51" s="77"/>
      <c r="C51" s="77"/>
      <c r="D51" s="71"/>
      <c r="E51" s="71"/>
      <c r="F51" s="71"/>
      <c r="G51" s="71"/>
      <c r="H51" s="67"/>
      <c r="I51" s="71"/>
      <c r="J51" s="84"/>
      <c r="K51" s="85"/>
      <c r="L51" s="84"/>
      <c r="M51" s="85"/>
      <c r="N51" s="71"/>
      <c r="O51" s="84"/>
      <c r="P51" s="71"/>
      <c r="Q51" s="89"/>
      <c r="R51" s="71"/>
      <c r="S51" s="71"/>
      <c r="T51" s="71"/>
      <c r="U51" s="71"/>
      <c r="V51" s="71"/>
      <c r="W51" s="71"/>
      <c r="X51" s="97"/>
      <c r="Y51" s="104"/>
      <c r="Z51" s="104"/>
      <c r="AA51" s="104"/>
      <c r="AB51" s="71"/>
      <c r="AC51" s="71"/>
      <c r="AD51" s="78"/>
      <c r="AE51" s="70"/>
      <c r="AF51" s="70"/>
      <c r="AG51" s="77"/>
      <c r="AH51" s="67"/>
      <c r="AI51" s="71"/>
      <c r="AJ51" s="71"/>
      <c r="AK51" s="78"/>
      <c r="AL51" s="78"/>
      <c r="AM51" s="71"/>
      <c r="AN51" s="67"/>
      <c r="AO51" s="67"/>
      <c r="AP51" s="67"/>
      <c r="AQ51" s="67"/>
      <c r="AR51" s="71"/>
      <c r="AS51" s="67"/>
      <c r="AT51" s="105"/>
    </row>
    <row r="52" spans="1:46" s="60" customFormat="1" ht="120" customHeight="1">
      <c r="A52" s="66"/>
      <c r="B52" s="70"/>
      <c r="C52" s="77"/>
      <c r="D52" s="71"/>
      <c r="E52" s="71"/>
      <c r="F52" s="71"/>
      <c r="G52" s="71"/>
      <c r="H52" s="67"/>
      <c r="I52" s="71"/>
      <c r="J52" s="84"/>
      <c r="K52" s="85"/>
      <c r="L52" s="84"/>
      <c r="M52" s="85"/>
      <c r="N52" s="71"/>
      <c r="O52" s="84"/>
      <c r="P52" s="71"/>
      <c r="Q52" s="89"/>
      <c r="R52" s="71"/>
      <c r="S52" s="71"/>
      <c r="T52" s="71"/>
      <c r="U52" s="71"/>
      <c r="V52" s="71"/>
      <c r="W52" s="71"/>
      <c r="X52" s="97"/>
      <c r="Y52" s="104"/>
      <c r="Z52" s="104"/>
      <c r="AA52" s="104"/>
      <c r="AB52" s="71"/>
      <c r="AC52" s="71"/>
      <c r="AD52" s="78"/>
      <c r="AE52" s="70"/>
      <c r="AF52" s="70"/>
      <c r="AG52" s="77"/>
      <c r="AH52" s="67"/>
      <c r="AI52" s="71"/>
      <c r="AJ52" s="71"/>
      <c r="AK52" s="78"/>
      <c r="AL52" s="78"/>
      <c r="AM52" s="67"/>
      <c r="AN52" s="67"/>
      <c r="AO52" s="67"/>
      <c r="AP52" s="67"/>
      <c r="AQ52" s="67"/>
      <c r="AR52" s="71"/>
      <c r="AS52" s="67"/>
      <c r="AT52" s="78"/>
    </row>
    <row r="53" spans="1:46" s="60" customFormat="1" ht="120" customHeight="1">
      <c r="A53" s="66"/>
      <c r="B53" s="77"/>
      <c r="C53" s="77"/>
      <c r="D53" s="71"/>
      <c r="E53" s="71"/>
      <c r="F53" s="71"/>
      <c r="G53" s="71"/>
      <c r="H53" s="67"/>
      <c r="I53" s="71"/>
      <c r="J53" s="84"/>
      <c r="K53" s="85"/>
      <c r="L53" s="84"/>
      <c r="M53" s="85"/>
      <c r="N53" s="71"/>
      <c r="O53" s="84"/>
      <c r="P53" s="71"/>
      <c r="Q53" s="89"/>
      <c r="R53" s="71"/>
      <c r="S53" s="71"/>
      <c r="T53" s="71"/>
      <c r="U53" s="71"/>
      <c r="V53" s="71"/>
      <c r="W53" s="71"/>
      <c r="X53" s="97"/>
      <c r="Y53" s="104"/>
      <c r="Z53" s="104"/>
      <c r="AA53" s="104"/>
      <c r="AB53" s="96"/>
      <c r="AC53" s="71"/>
      <c r="AD53" s="78"/>
      <c r="AE53" s="70"/>
      <c r="AF53" s="70"/>
      <c r="AG53" s="77"/>
      <c r="AH53" s="67"/>
      <c r="AI53" s="71"/>
      <c r="AJ53" s="71"/>
      <c r="AK53" s="78"/>
      <c r="AL53" s="78"/>
      <c r="AM53" s="71"/>
      <c r="AN53" s="67"/>
      <c r="AO53" s="67"/>
      <c r="AP53" s="67"/>
      <c r="AQ53" s="67"/>
      <c r="AR53" s="71"/>
      <c r="AS53" s="67"/>
      <c r="AT53" s="105"/>
    </row>
    <row r="54" spans="1:46" s="60" customFormat="1" ht="120" customHeight="1">
      <c r="A54" s="66"/>
      <c r="B54" s="77"/>
      <c r="C54" s="77"/>
      <c r="D54" s="71"/>
      <c r="E54" s="71"/>
      <c r="F54" s="71"/>
      <c r="G54" s="71"/>
      <c r="H54" s="67"/>
      <c r="I54" s="71"/>
      <c r="J54" s="84"/>
      <c r="K54" s="85"/>
      <c r="L54" s="84"/>
      <c r="M54" s="85"/>
      <c r="N54" s="71"/>
      <c r="O54" s="89"/>
      <c r="P54" s="71"/>
      <c r="Q54" s="89"/>
      <c r="R54" s="71"/>
      <c r="S54" s="71"/>
      <c r="T54" s="71"/>
      <c r="U54" s="71"/>
      <c r="V54" s="71"/>
      <c r="W54" s="71"/>
      <c r="X54" s="97"/>
      <c r="Y54" s="104"/>
      <c r="Z54" s="104"/>
      <c r="AA54" s="104"/>
      <c r="AB54" s="96"/>
      <c r="AC54" s="71"/>
      <c r="AD54" s="78"/>
      <c r="AE54" s="70"/>
      <c r="AF54" s="70"/>
      <c r="AG54" s="77"/>
      <c r="AH54" s="67"/>
      <c r="AI54" s="71"/>
      <c r="AJ54" s="71"/>
      <c r="AK54" s="78"/>
      <c r="AL54" s="78"/>
      <c r="AM54" s="71"/>
      <c r="AN54" s="67"/>
      <c r="AO54" s="67"/>
      <c r="AP54" s="67"/>
      <c r="AQ54" s="67"/>
      <c r="AR54" s="71"/>
      <c r="AS54" s="67"/>
      <c r="AT54" s="78"/>
    </row>
    <row r="55" spans="1:46" s="60" customFormat="1" ht="120" customHeight="1">
      <c r="A55" s="66"/>
      <c r="B55" s="77"/>
      <c r="C55" s="77"/>
      <c r="D55" s="71"/>
      <c r="E55" s="71"/>
      <c r="F55" s="71"/>
      <c r="G55" s="71"/>
      <c r="H55" s="67"/>
      <c r="I55" s="71"/>
      <c r="J55" s="84"/>
      <c r="K55" s="85"/>
      <c r="L55" s="84"/>
      <c r="M55" s="85"/>
      <c r="N55" s="71"/>
      <c r="O55" s="84"/>
      <c r="P55" s="71"/>
      <c r="Q55" s="89"/>
      <c r="R55" s="71"/>
      <c r="S55" s="71"/>
      <c r="T55" s="71"/>
      <c r="U55" s="71"/>
      <c r="V55" s="71"/>
      <c r="W55" s="71"/>
      <c r="X55" s="97"/>
      <c r="Y55" s="104"/>
      <c r="Z55" s="104"/>
      <c r="AA55" s="104"/>
      <c r="AB55" s="71"/>
      <c r="AC55" s="71"/>
      <c r="AD55" s="78"/>
      <c r="AE55" s="70"/>
      <c r="AF55" s="70"/>
      <c r="AG55" s="77"/>
      <c r="AH55" s="67"/>
      <c r="AI55" s="71"/>
      <c r="AJ55" s="71"/>
      <c r="AK55" s="78"/>
      <c r="AL55" s="78"/>
      <c r="AM55" s="71"/>
      <c r="AN55" s="67"/>
      <c r="AO55" s="67"/>
      <c r="AP55" s="67"/>
      <c r="AQ55" s="67"/>
      <c r="AR55" s="71"/>
      <c r="AS55" s="67"/>
      <c r="AT55" s="105"/>
    </row>
    <row r="56" spans="1:46" s="60" customFormat="1" ht="120" customHeight="1">
      <c r="A56" s="66"/>
      <c r="B56" s="77"/>
      <c r="C56" s="77"/>
      <c r="D56" s="71"/>
      <c r="E56" s="71"/>
      <c r="F56" s="71"/>
      <c r="G56" s="71"/>
      <c r="H56" s="67"/>
      <c r="I56" s="71"/>
      <c r="J56" s="84"/>
      <c r="K56" s="85"/>
      <c r="L56" s="84"/>
      <c r="M56" s="85"/>
      <c r="N56" s="71"/>
      <c r="O56" s="84"/>
      <c r="P56" s="71"/>
      <c r="Q56" s="89"/>
      <c r="R56" s="71"/>
      <c r="S56" s="71"/>
      <c r="T56" s="71"/>
      <c r="U56" s="71"/>
      <c r="V56" s="71"/>
      <c r="W56" s="71"/>
      <c r="X56" s="97"/>
      <c r="Y56" s="104"/>
      <c r="Z56" s="104"/>
      <c r="AA56" s="104"/>
      <c r="AB56" s="71"/>
      <c r="AC56" s="71"/>
      <c r="AD56" s="78"/>
      <c r="AE56" s="70"/>
      <c r="AF56" s="70"/>
      <c r="AG56" s="77"/>
      <c r="AH56" s="67"/>
      <c r="AI56" s="71"/>
      <c r="AJ56" s="71"/>
      <c r="AK56" s="78"/>
      <c r="AL56" s="78"/>
      <c r="AM56" s="71"/>
      <c r="AN56" s="67"/>
      <c r="AO56" s="67"/>
      <c r="AP56" s="67"/>
      <c r="AQ56" s="67"/>
      <c r="AR56" s="71"/>
      <c r="AS56" s="67"/>
      <c r="AT56" s="78"/>
    </row>
    <row r="57" spans="1:46" s="60" customFormat="1" ht="120" customHeight="1">
      <c r="A57" s="66"/>
      <c r="B57" s="77"/>
      <c r="C57" s="77"/>
      <c r="D57" s="71"/>
      <c r="E57" s="71"/>
      <c r="F57" s="71"/>
      <c r="G57" s="71"/>
      <c r="H57" s="67"/>
      <c r="I57" s="71"/>
      <c r="J57" s="84"/>
      <c r="K57" s="85"/>
      <c r="L57" s="91"/>
      <c r="M57" s="92"/>
      <c r="N57" s="71"/>
      <c r="O57" s="84"/>
      <c r="P57" s="71"/>
      <c r="Q57" s="89"/>
      <c r="R57" s="71"/>
      <c r="S57" s="71"/>
      <c r="T57" s="71"/>
      <c r="U57" s="71"/>
      <c r="V57" s="71"/>
      <c r="W57" s="71"/>
      <c r="X57" s="97"/>
      <c r="Y57" s="104"/>
      <c r="Z57" s="104"/>
      <c r="AA57" s="104"/>
      <c r="AB57" s="71"/>
      <c r="AC57" s="71"/>
      <c r="AD57" s="78"/>
      <c r="AE57" s="70"/>
      <c r="AF57" s="70"/>
      <c r="AG57" s="77"/>
      <c r="AH57" s="67"/>
      <c r="AI57" s="71"/>
      <c r="AJ57" s="71"/>
      <c r="AK57" s="78"/>
      <c r="AL57" s="78"/>
      <c r="AM57" s="71"/>
      <c r="AN57" s="67"/>
      <c r="AO57" s="67"/>
      <c r="AP57" s="67"/>
      <c r="AQ57" s="67"/>
      <c r="AR57" s="71"/>
      <c r="AS57" s="67"/>
      <c r="AT57" s="105"/>
    </row>
    <row r="58" spans="1:46" s="60" customFormat="1" ht="120" customHeight="1">
      <c r="A58" s="66"/>
      <c r="B58" s="77"/>
      <c r="C58" s="77"/>
      <c r="D58" s="71"/>
      <c r="E58" s="71"/>
      <c r="F58" s="71"/>
      <c r="G58" s="71"/>
      <c r="H58" s="67"/>
      <c r="I58" s="71"/>
      <c r="J58" s="89"/>
      <c r="K58" s="92"/>
      <c r="L58" s="91"/>
      <c r="M58" s="92"/>
      <c r="N58" s="71"/>
      <c r="O58" s="84"/>
      <c r="P58" s="71"/>
      <c r="Q58" s="89"/>
      <c r="R58" s="71"/>
      <c r="S58" s="71"/>
      <c r="T58" s="71"/>
      <c r="U58" s="71"/>
      <c r="V58" s="71"/>
      <c r="W58" s="71"/>
      <c r="X58" s="97"/>
      <c r="Y58" s="104"/>
      <c r="Z58" s="104"/>
      <c r="AA58" s="104"/>
      <c r="AB58" s="71"/>
      <c r="AC58" s="71"/>
      <c r="AD58" s="78"/>
      <c r="AE58" s="70"/>
      <c r="AF58" s="70"/>
      <c r="AG58" s="77"/>
      <c r="AH58" s="67"/>
      <c r="AI58" s="71"/>
      <c r="AJ58" s="71"/>
      <c r="AK58" s="78"/>
      <c r="AL58" s="78"/>
      <c r="AM58" s="71"/>
      <c r="AN58" s="67"/>
      <c r="AO58" s="67"/>
      <c r="AP58" s="67"/>
      <c r="AQ58" s="67"/>
      <c r="AR58" s="71"/>
      <c r="AS58" s="67"/>
      <c r="AT58" s="78"/>
    </row>
    <row r="59" spans="1:46" s="60" customFormat="1" ht="120" customHeight="1">
      <c r="A59" s="66"/>
      <c r="B59" s="77"/>
      <c r="C59" s="70"/>
      <c r="D59" s="71"/>
      <c r="E59" s="71"/>
      <c r="F59" s="71"/>
      <c r="G59" s="71"/>
      <c r="H59" s="67"/>
      <c r="I59" s="71"/>
      <c r="J59" s="89"/>
      <c r="K59" s="92"/>
      <c r="L59" s="91"/>
      <c r="M59" s="92"/>
      <c r="N59" s="71"/>
      <c r="O59" s="84"/>
      <c r="P59" s="71"/>
      <c r="Q59" s="89"/>
      <c r="R59" s="71"/>
      <c r="S59" s="71"/>
      <c r="T59" s="71"/>
      <c r="U59" s="71"/>
      <c r="V59" s="71"/>
      <c r="W59" s="71"/>
      <c r="X59" s="97"/>
      <c r="Y59" s="104"/>
      <c r="Z59" s="104"/>
      <c r="AA59" s="104"/>
      <c r="AB59" s="71"/>
      <c r="AC59" s="71"/>
      <c r="AD59" s="78"/>
      <c r="AE59" s="70"/>
      <c r="AF59" s="70"/>
      <c r="AG59" s="77"/>
      <c r="AH59" s="67"/>
      <c r="AI59" s="71"/>
      <c r="AJ59" s="71"/>
      <c r="AK59" s="78"/>
      <c r="AL59" s="78"/>
      <c r="AM59" s="71"/>
      <c r="AN59" s="67"/>
      <c r="AO59" s="67"/>
      <c r="AP59" s="67"/>
      <c r="AQ59" s="67"/>
      <c r="AR59" s="71"/>
      <c r="AS59" s="67"/>
      <c r="AT59" s="105"/>
    </row>
    <row r="60" spans="1:46" s="60" customFormat="1" ht="120" customHeight="1">
      <c r="A60" s="66"/>
      <c r="B60" s="77"/>
      <c r="C60" s="77"/>
      <c r="D60" s="71"/>
      <c r="E60" s="71"/>
      <c r="F60" s="71"/>
      <c r="G60" s="71"/>
      <c r="H60" s="67"/>
      <c r="I60" s="71"/>
      <c r="J60" s="89"/>
      <c r="K60" s="92"/>
      <c r="L60" s="91"/>
      <c r="M60" s="92"/>
      <c r="N60" s="71"/>
      <c r="O60" s="84"/>
      <c r="P60" s="71"/>
      <c r="Q60" s="89"/>
      <c r="R60" s="71"/>
      <c r="S60" s="71"/>
      <c r="T60" s="71"/>
      <c r="U60" s="71"/>
      <c r="V60" s="71"/>
      <c r="W60" s="71"/>
      <c r="X60" s="97"/>
      <c r="Y60" s="104"/>
      <c r="Z60" s="104"/>
      <c r="AA60" s="104"/>
      <c r="AB60" s="71"/>
      <c r="AC60" s="71"/>
      <c r="AD60" s="78"/>
      <c r="AE60" s="70"/>
      <c r="AF60" s="70"/>
      <c r="AG60" s="77"/>
      <c r="AH60" s="67"/>
      <c r="AI60" s="71"/>
      <c r="AJ60" s="71"/>
      <c r="AK60" s="78"/>
      <c r="AL60" s="78"/>
      <c r="AM60" s="71"/>
      <c r="AN60" s="67"/>
      <c r="AO60" s="67"/>
      <c r="AP60" s="67"/>
      <c r="AQ60" s="67"/>
      <c r="AR60" s="71"/>
      <c r="AS60" s="67"/>
      <c r="AT60" s="78"/>
    </row>
    <row r="61" spans="1:46" s="60" customFormat="1" ht="120" customHeight="1">
      <c r="A61" s="66"/>
      <c r="B61" s="77"/>
      <c r="C61" s="70"/>
      <c r="D61" s="71"/>
      <c r="E61" s="71"/>
      <c r="F61" s="71"/>
      <c r="G61" s="71"/>
      <c r="H61" s="67"/>
      <c r="I61" s="71"/>
      <c r="J61" s="89"/>
      <c r="K61" s="92"/>
      <c r="L61" s="91"/>
      <c r="M61" s="92"/>
      <c r="N61" s="71"/>
      <c r="O61" s="84"/>
      <c r="P61" s="71"/>
      <c r="Q61" s="89"/>
      <c r="R61" s="71"/>
      <c r="S61" s="71"/>
      <c r="T61" s="71"/>
      <c r="U61" s="71"/>
      <c r="V61" s="71"/>
      <c r="W61" s="71"/>
      <c r="X61" s="97"/>
      <c r="Y61" s="104"/>
      <c r="Z61" s="104"/>
      <c r="AA61" s="104"/>
      <c r="AB61" s="71"/>
      <c r="AC61" s="71"/>
      <c r="AD61" s="78"/>
      <c r="AE61" s="70"/>
      <c r="AF61" s="70"/>
      <c r="AG61" s="77"/>
      <c r="AH61" s="67"/>
      <c r="AI61" s="71"/>
      <c r="AJ61" s="71"/>
      <c r="AK61" s="78"/>
      <c r="AL61" s="78"/>
      <c r="AM61" s="71"/>
      <c r="AN61" s="67"/>
      <c r="AO61" s="67"/>
      <c r="AP61" s="67"/>
      <c r="AQ61" s="67"/>
      <c r="AR61" s="71"/>
      <c r="AS61" s="67"/>
      <c r="AT61" s="105"/>
    </row>
    <row r="62" spans="1:46" s="60" customFormat="1" ht="120" customHeight="1">
      <c r="A62" s="66"/>
      <c r="B62" s="70"/>
      <c r="C62" s="70"/>
      <c r="D62" s="71"/>
      <c r="E62" s="71"/>
      <c r="F62" s="71"/>
      <c r="G62" s="71"/>
      <c r="H62" s="67"/>
      <c r="I62" s="71"/>
      <c r="J62" s="89"/>
      <c r="K62" s="92"/>
      <c r="L62" s="91"/>
      <c r="M62" s="92"/>
      <c r="N62" s="71"/>
      <c r="O62" s="84"/>
      <c r="P62" s="71"/>
      <c r="Q62" s="89"/>
      <c r="R62" s="71"/>
      <c r="S62" s="71"/>
      <c r="T62" s="71"/>
      <c r="U62" s="71"/>
      <c r="V62" s="71"/>
      <c r="W62" s="71"/>
      <c r="X62" s="97"/>
      <c r="Y62" s="104"/>
      <c r="Z62" s="104"/>
      <c r="AA62" s="104"/>
      <c r="AB62" s="71"/>
      <c r="AC62" s="71"/>
      <c r="AD62" s="78"/>
      <c r="AE62" s="70"/>
      <c r="AF62" s="70"/>
      <c r="AG62" s="70"/>
      <c r="AH62" s="67"/>
      <c r="AI62" s="71"/>
      <c r="AJ62" s="71"/>
      <c r="AK62" s="80"/>
      <c r="AL62" s="78"/>
      <c r="AM62" s="71"/>
      <c r="AN62" s="67"/>
      <c r="AO62" s="67"/>
      <c r="AP62" s="67"/>
      <c r="AQ62" s="67"/>
      <c r="AR62" s="71"/>
      <c r="AS62" s="67"/>
      <c r="AT62" s="105"/>
    </row>
    <row r="63" spans="1:46" s="60" customFormat="1" ht="120" customHeight="1">
      <c r="A63" s="66"/>
      <c r="B63" s="77"/>
      <c r="C63" s="70"/>
      <c r="D63" s="71"/>
      <c r="E63" s="71"/>
      <c r="F63" s="71"/>
      <c r="G63" s="71"/>
      <c r="H63" s="67"/>
      <c r="I63" s="71"/>
      <c r="J63" s="89"/>
      <c r="K63" s="92"/>
      <c r="L63" s="89"/>
      <c r="M63" s="85"/>
      <c r="N63" s="71"/>
      <c r="O63" s="84"/>
      <c r="P63" s="71"/>
      <c r="Q63" s="89"/>
      <c r="R63" s="71"/>
      <c r="S63" s="71"/>
      <c r="T63" s="71"/>
      <c r="U63" s="71"/>
      <c r="V63" s="71"/>
      <c r="W63" s="71"/>
      <c r="X63" s="97"/>
      <c r="Y63" s="104"/>
      <c r="Z63" s="104"/>
      <c r="AA63" s="104"/>
      <c r="AB63" s="71"/>
      <c r="AC63" s="71"/>
      <c r="AD63" s="78"/>
      <c r="AE63" s="70"/>
      <c r="AF63" s="70"/>
      <c r="AG63" s="77"/>
      <c r="AH63" s="67"/>
      <c r="AI63" s="71"/>
      <c r="AJ63" s="71"/>
      <c r="AK63" s="78"/>
      <c r="AL63" s="78"/>
      <c r="AM63" s="71"/>
      <c r="AN63" s="67"/>
      <c r="AO63" s="67"/>
      <c r="AP63" s="67"/>
      <c r="AQ63" s="67"/>
      <c r="AR63" s="71"/>
      <c r="AS63" s="67"/>
      <c r="AT63" s="105"/>
    </row>
    <row r="64" spans="1:46" s="60" customFormat="1" ht="120" customHeight="1">
      <c r="A64" s="71"/>
      <c r="B64" s="78"/>
      <c r="C64" s="78"/>
      <c r="D64" s="71"/>
      <c r="E64" s="71"/>
      <c r="F64" s="71"/>
      <c r="G64" s="71"/>
      <c r="H64" s="71"/>
      <c r="I64" s="71"/>
      <c r="J64" s="89"/>
      <c r="K64" s="85"/>
      <c r="L64" s="89"/>
      <c r="M64" s="85"/>
      <c r="N64" s="71"/>
      <c r="O64" s="84"/>
      <c r="P64" s="71"/>
      <c r="Q64" s="89"/>
      <c r="R64" s="71"/>
      <c r="S64" s="71"/>
      <c r="T64" s="71"/>
      <c r="U64" s="71"/>
      <c r="V64" s="71"/>
      <c r="W64" s="71"/>
      <c r="X64" s="97"/>
      <c r="Y64" s="71"/>
      <c r="Z64" s="71"/>
      <c r="AA64" s="104"/>
      <c r="AB64" s="71"/>
      <c r="AC64" s="71"/>
      <c r="AD64" s="78"/>
      <c r="AE64" s="67"/>
      <c r="AF64" s="67"/>
      <c r="AG64" s="71"/>
      <c r="AH64" s="67"/>
      <c r="AI64" s="71"/>
      <c r="AJ64" s="71"/>
      <c r="AK64" s="78"/>
      <c r="AL64" s="78"/>
      <c r="AM64" s="71"/>
      <c r="AN64" s="67"/>
      <c r="AO64" s="67"/>
      <c r="AP64" s="67"/>
      <c r="AQ64" s="67"/>
      <c r="AR64" s="71"/>
      <c r="AS64" s="67"/>
      <c r="AT64" s="105"/>
    </row>
    <row r="65" spans="1:46" s="60" customFormat="1" ht="120" customHeight="1">
      <c r="A65" s="71"/>
      <c r="B65" s="78"/>
      <c r="C65" s="78"/>
      <c r="D65" s="71"/>
      <c r="E65" s="71"/>
      <c r="F65" s="71"/>
      <c r="G65" s="71"/>
      <c r="H65" s="71"/>
      <c r="I65" s="71"/>
      <c r="J65" s="89"/>
      <c r="K65" s="85"/>
      <c r="L65" s="89"/>
      <c r="M65" s="85"/>
      <c r="N65" s="71"/>
      <c r="O65" s="84"/>
      <c r="P65" s="71"/>
      <c r="Q65" s="89"/>
      <c r="R65" s="71"/>
      <c r="S65" s="71"/>
      <c r="T65" s="71"/>
      <c r="U65" s="71"/>
      <c r="V65" s="71"/>
      <c r="W65" s="71"/>
      <c r="X65" s="97"/>
      <c r="Y65" s="71"/>
      <c r="Z65" s="71"/>
      <c r="AA65" s="104"/>
      <c r="AB65" s="71"/>
      <c r="AC65" s="71"/>
      <c r="AD65" s="78"/>
      <c r="AE65" s="67"/>
      <c r="AF65" s="67"/>
      <c r="AG65" s="71"/>
      <c r="AH65" s="67"/>
      <c r="AI65" s="71"/>
      <c r="AJ65" s="71"/>
      <c r="AK65" s="78"/>
      <c r="AL65" s="78"/>
      <c r="AM65" s="71"/>
      <c r="AN65" s="67"/>
      <c r="AO65" s="67"/>
      <c r="AP65" s="67"/>
      <c r="AQ65" s="67"/>
      <c r="AR65" s="71"/>
      <c r="AS65" s="67"/>
      <c r="AT65" s="78"/>
    </row>
    <row r="66" spans="1:46" s="60" customFormat="1" ht="120" customHeight="1">
      <c r="A66" s="71"/>
      <c r="B66" s="78"/>
      <c r="C66" s="78"/>
      <c r="D66" s="71"/>
      <c r="E66" s="71"/>
      <c r="F66" s="71"/>
      <c r="G66" s="71"/>
      <c r="H66" s="71"/>
      <c r="I66" s="71"/>
      <c r="J66" s="89"/>
      <c r="K66" s="85"/>
      <c r="L66" s="89"/>
      <c r="M66" s="85"/>
      <c r="N66" s="71"/>
      <c r="O66" s="84"/>
      <c r="P66" s="71"/>
      <c r="Q66" s="89"/>
      <c r="R66" s="71"/>
      <c r="S66" s="71"/>
      <c r="T66" s="71"/>
      <c r="U66" s="71"/>
      <c r="V66" s="71"/>
      <c r="W66" s="71"/>
      <c r="X66" s="97"/>
      <c r="Y66" s="71"/>
      <c r="Z66" s="71"/>
      <c r="AA66" s="104"/>
      <c r="AB66" s="71"/>
      <c r="AC66" s="71"/>
      <c r="AD66" s="78"/>
      <c r="AE66" s="67"/>
      <c r="AF66" s="67"/>
      <c r="AG66" s="71"/>
      <c r="AH66" s="67"/>
      <c r="AI66" s="71"/>
      <c r="AJ66" s="71"/>
      <c r="AK66" s="78"/>
      <c r="AL66" s="78"/>
      <c r="AM66" s="71"/>
      <c r="AN66" s="67"/>
      <c r="AO66" s="67"/>
      <c r="AP66" s="67"/>
      <c r="AQ66" s="67"/>
      <c r="AR66" s="71"/>
      <c r="AS66" s="67"/>
      <c r="AT66" s="78"/>
    </row>
    <row r="67" spans="1:46" s="60" customFormat="1" ht="120" customHeight="1">
      <c r="A67" s="71"/>
      <c r="B67" s="78"/>
      <c r="C67" s="78"/>
      <c r="D67" s="71"/>
      <c r="E67" s="71"/>
      <c r="F67" s="71"/>
      <c r="G67" s="71"/>
      <c r="H67" s="71"/>
      <c r="I67" s="71"/>
      <c r="J67" s="89"/>
      <c r="K67" s="85"/>
      <c r="L67" s="89"/>
      <c r="M67" s="85"/>
      <c r="N67" s="71"/>
      <c r="O67" s="84"/>
      <c r="P67" s="71"/>
      <c r="Q67" s="89"/>
      <c r="R67" s="71"/>
      <c r="S67" s="71"/>
      <c r="T67" s="71"/>
      <c r="U67" s="71"/>
      <c r="V67" s="71"/>
      <c r="W67" s="71"/>
      <c r="X67" s="97"/>
      <c r="Y67" s="71"/>
      <c r="Z67" s="71"/>
      <c r="AA67" s="104"/>
      <c r="AB67" s="71"/>
      <c r="AC67" s="71"/>
      <c r="AD67" s="78"/>
      <c r="AE67" s="67"/>
      <c r="AF67" s="67"/>
      <c r="AG67" s="71"/>
      <c r="AH67" s="67"/>
      <c r="AI67" s="71"/>
      <c r="AJ67" s="71"/>
      <c r="AK67" s="78"/>
      <c r="AL67" s="78"/>
      <c r="AM67" s="71"/>
      <c r="AN67" s="67"/>
      <c r="AO67" s="67"/>
      <c r="AP67" s="67"/>
      <c r="AQ67" s="67"/>
      <c r="AR67" s="71"/>
      <c r="AS67" s="67"/>
      <c r="AT67" s="105"/>
    </row>
    <row r="68" spans="1:46" s="60" customFormat="1" ht="120" customHeight="1">
      <c r="A68" s="71"/>
      <c r="B68" s="78"/>
      <c r="C68" s="78"/>
      <c r="D68" s="71"/>
      <c r="E68" s="71"/>
      <c r="F68" s="71"/>
      <c r="G68" s="71"/>
      <c r="H68" s="71"/>
      <c r="I68" s="71"/>
      <c r="J68" s="89"/>
      <c r="K68" s="85"/>
      <c r="L68" s="89"/>
      <c r="M68" s="85"/>
      <c r="N68" s="71"/>
      <c r="O68" s="84"/>
      <c r="P68" s="71"/>
      <c r="Q68" s="89"/>
      <c r="R68" s="71"/>
      <c r="S68" s="71"/>
      <c r="T68" s="71"/>
      <c r="U68" s="71"/>
      <c r="V68" s="71"/>
      <c r="W68" s="71"/>
      <c r="X68" s="97"/>
      <c r="Y68" s="71"/>
      <c r="Z68" s="71"/>
      <c r="AA68" s="104"/>
      <c r="AB68" s="71"/>
      <c r="AC68" s="71"/>
      <c r="AD68" s="78"/>
      <c r="AE68" s="67"/>
      <c r="AF68" s="67"/>
      <c r="AG68" s="71"/>
      <c r="AH68" s="67"/>
      <c r="AI68" s="71"/>
      <c r="AJ68" s="71"/>
      <c r="AK68" s="78"/>
      <c r="AL68" s="78"/>
      <c r="AM68" s="71"/>
      <c r="AN68" s="67"/>
      <c r="AO68" s="67"/>
      <c r="AP68" s="67"/>
      <c r="AQ68" s="67"/>
      <c r="AR68" s="71"/>
      <c r="AS68" s="67"/>
      <c r="AT68" s="105"/>
    </row>
    <row r="69" spans="1:46" s="60" customFormat="1" ht="120" customHeight="1">
      <c r="A69" s="71"/>
      <c r="B69" s="78"/>
      <c r="C69" s="78"/>
      <c r="D69" s="71"/>
      <c r="E69" s="71"/>
      <c r="F69" s="71"/>
      <c r="G69" s="71"/>
      <c r="H69" s="71"/>
      <c r="I69" s="71"/>
      <c r="J69" s="89"/>
      <c r="K69" s="85"/>
      <c r="L69" s="89"/>
      <c r="M69" s="85"/>
      <c r="N69" s="71"/>
      <c r="O69" s="84"/>
      <c r="P69" s="71"/>
      <c r="Q69" s="89"/>
      <c r="R69" s="71"/>
      <c r="S69" s="71"/>
      <c r="T69" s="71"/>
      <c r="U69" s="71"/>
      <c r="V69" s="71"/>
      <c r="W69" s="71"/>
      <c r="X69" s="97"/>
      <c r="Y69" s="71"/>
      <c r="Z69" s="71"/>
      <c r="AA69" s="104"/>
      <c r="AB69" s="71"/>
      <c r="AC69" s="71"/>
      <c r="AD69" s="78"/>
      <c r="AE69" s="67"/>
      <c r="AF69" s="67"/>
      <c r="AG69" s="71"/>
      <c r="AH69" s="67"/>
      <c r="AI69" s="71"/>
      <c r="AJ69" s="71"/>
      <c r="AK69" s="78"/>
      <c r="AL69" s="78"/>
      <c r="AM69" s="71"/>
      <c r="AN69" s="67"/>
      <c r="AO69" s="67"/>
      <c r="AP69" s="67"/>
      <c r="AQ69" s="67"/>
      <c r="AR69" s="71"/>
      <c r="AS69" s="67"/>
      <c r="AT69" s="78"/>
    </row>
    <row r="70" spans="1:46" s="60" customFormat="1" ht="120" customHeight="1">
      <c r="A70" s="71"/>
      <c r="B70" s="78"/>
      <c r="C70" s="78"/>
      <c r="D70" s="71"/>
      <c r="E70" s="71"/>
      <c r="F70" s="71"/>
      <c r="G70" s="71"/>
      <c r="H70" s="71"/>
      <c r="I70" s="71"/>
      <c r="J70" s="89"/>
      <c r="K70" s="85"/>
      <c r="L70" s="89"/>
      <c r="M70" s="106"/>
      <c r="N70" s="71"/>
      <c r="O70" s="84"/>
      <c r="P70" s="71"/>
      <c r="Q70" s="89"/>
      <c r="R70" s="71"/>
      <c r="S70" s="71"/>
      <c r="T70" s="71"/>
      <c r="U70" s="71"/>
      <c r="V70" s="71"/>
      <c r="W70" s="71"/>
      <c r="X70" s="97"/>
      <c r="Y70" s="71"/>
      <c r="Z70" s="71"/>
      <c r="AA70" s="104"/>
      <c r="AB70" s="71"/>
      <c r="AC70" s="71"/>
      <c r="AD70" s="78"/>
      <c r="AE70" s="67"/>
      <c r="AF70" s="67"/>
      <c r="AG70" s="71"/>
      <c r="AH70" s="67"/>
      <c r="AI70" s="71"/>
      <c r="AJ70" s="71"/>
      <c r="AK70" s="78"/>
      <c r="AL70" s="78"/>
      <c r="AM70" s="71"/>
      <c r="AN70" s="67"/>
      <c r="AO70" s="67"/>
      <c r="AP70" s="67"/>
      <c r="AQ70" s="67"/>
      <c r="AR70" s="71"/>
      <c r="AS70" s="67"/>
      <c r="AT70" s="105"/>
    </row>
    <row r="71" spans="1:46" s="60" customFormat="1" ht="120" customHeight="1">
      <c r="A71" s="71"/>
      <c r="B71" s="71"/>
      <c r="C71" s="78"/>
      <c r="D71" s="71"/>
      <c r="E71" s="71"/>
      <c r="F71" s="71"/>
      <c r="G71" s="71"/>
      <c r="H71" s="71"/>
      <c r="I71" s="71"/>
      <c r="J71" s="89"/>
      <c r="K71" s="106"/>
      <c r="L71" s="89"/>
      <c r="M71" s="106"/>
      <c r="N71" s="71"/>
      <c r="O71" s="71"/>
      <c r="P71" s="71"/>
      <c r="Q71" s="89"/>
      <c r="R71" s="71"/>
      <c r="S71" s="71"/>
      <c r="T71" s="71"/>
      <c r="U71" s="71"/>
      <c r="V71" s="71"/>
      <c r="W71" s="71"/>
      <c r="X71" s="97"/>
      <c r="Y71" s="71"/>
      <c r="Z71" s="71"/>
      <c r="AA71" s="104"/>
      <c r="AB71" s="71"/>
      <c r="AC71" s="71"/>
      <c r="AD71" s="78"/>
      <c r="AE71" s="78"/>
      <c r="AF71" s="78"/>
      <c r="AG71" s="71"/>
      <c r="AH71" s="78"/>
      <c r="AI71" s="71"/>
      <c r="AJ71" s="71"/>
      <c r="AK71" s="78"/>
      <c r="AL71" s="78"/>
      <c r="AM71" s="71"/>
      <c r="AN71" s="71"/>
      <c r="AO71" s="71"/>
      <c r="AP71" s="71"/>
      <c r="AQ71" s="71"/>
      <c r="AR71" s="71"/>
      <c r="AS71" s="71"/>
      <c r="AT71" s="78"/>
    </row>
    <row r="72" spans="1:46" s="60" customFormat="1" ht="120" customHeight="1">
      <c r="A72" s="71"/>
      <c r="B72" s="71"/>
      <c r="C72" s="78"/>
      <c r="D72" s="71"/>
      <c r="E72" s="71"/>
      <c r="F72" s="71"/>
      <c r="G72" s="71"/>
      <c r="H72" s="71"/>
      <c r="I72" s="71"/>
      <c r="J72" s="89"/>
      <c r="K72" s="106"/>
      <c r="L72" s="89"/>
      <c r="M72" s="106"/>
      <c r="N72" s="71"/>
      <c r="O72" s="71"/>
      <c r="P72" s="71"/>
      <c r="Q72" s="89"/>
      <c r="R72" s="71"/>
      <c r="S72" s="71"/>
      <c r="T72" s="71"/>
      <c r="U72" s="71"/>
      <c r="V72" s="71"/>
      <c r="W72" s="71"/>
      <c r="X72" s="97"/>
      <c r="Y72" s="71"/>
      <c r="Z72" s="71"/>
      <c r="AA72" s="104"/>
      <c r="AB72" s="71"/>
      <c r="AC72" s="71"/>
      <c r="AD72" s="78"/>
      <c r="AE72" s="78"/>
      <c r="AF72" s="71"/>
      <c r="AG72" s="71"/>
      <c r="AH72" s="78"/>
      <c r="AI72" s="71"/>
      <c r="AJ72" s="71"/>
      <c r="AK72" s="78"/>
      <c r="AL72" s="78"/>
      <c r="AM72" s="71"/>
      <c r="AN72" s="71"/>
      <c r="AO72" s="71"/>
      <c r="AP72" s="71"/>
      <c r="AQ72" s="71"/>
      <c r="AR72" s="71"/>
      <c r="AS72" s="71"/>
      <c r="AT72" s="78"/>
    </row>
    <row r="73" spans="1:46" s="61" customFormat="1" ht="120" customHeight="1">
      <c r="A73" s="71"/>
      <c r="B73" s="71"/>
      <c r="C73" s="78"/>
      <c r="D73" s="71"/>
      <c r="E73" s="71"/>
      <c r="F73" s="71"/>
      <c r="G73" s="71"/>
      <c r="H73" s="71"/>
      <c r="I73" s="71"/>
      <c r="J73" s="89"/>
      <c r="K73" s="106"/>
      <c r="L73" s="89"/>
      <c r="M73" s="77"/>
      <c r="N73" s="71"/>
      <c r="O73" s="71"/>
      <c r="P73" s="71"/>
      <c r="Q73" s="71"/>
      <c r="R73" s="71"/>
      <c r="S73" s="71"/>
      <c r="T73" s="71"/>
      <c r="U73" s="71"/>
      <c r="V73" s="71"/>
      <c r="W73" s="71"/>
      <c r="X73" s="97"/>
      <c r="Y73" s="71"/>
      <c r="Z73" s="71"/>
      <c r="AA73" s="104"/>
      <c r="AB73" s="71"/>
      <c r="AC73" s="71"/>
      <c r="AD73" s="78"/>
      <c r="AE73" s="78"/>
      <c r="AF73" s="78"/>
      <c r="AG73" s="78"/>
      <c r="AH73" s="78"/>
      <c r="AI73" s="71"/>
      <c r="AJ73" s="71"/>
      <c r="AK73" s="78"/>
      <c r="AL73" s="78"/>
      <c r="AM73" s="71"/>
      <c r="AN73" s="71"/>
      <c r="AO73" s="71"/>
      <c r="AP73" s="71"/>
      <c r="AQ73" s="71"/>
      <c r="AR73" s="71"/>
      <c r="AS73" s="71"/>
      <c r="AT73" s="71"/>
    </row>
    <row r="74" spans="1:46" s="60" customFormat="1" ht="120" customHeight="1">
      <c r="A74" s="71"/>
      <c r="B74" s="71"/>
      <c r="C74" s="78"/>
      <c r="D74" s="71"/>
      <c r="E74" s="71"/>
      <c r="F74" s="71"/>
      <c r="G74" s="71"/>
      <c r="H74" s="71"/>
      <c r="I74" s="71"/>
      <c r="J74" s="71"/>
      <c r="K74" s="78"/>
      <c r="L74" s="71"/>
      <c r="M74" s="78"/>
      <c r="N74" s="71"/>
      <c r="O74" s="71"/>
      <c r="P74" s="71"/>
      <c r="Q74" s="89"/>
      <c r="R74" s="71"/>
      <c r="S74" s="71"/>
      <c r="T74" s="71"/>
      <c r="U74" s="71"/>
      <c r="V74" s="71"/>
      <c r="W74" s="71"/>
      <c r="X74" s="97"/>
      <c r="Y74" s="71"/>
      <c r="Z74" s="71"/>
      <c r="AA74" s="104"/>
      <c r="AB74" s="71"/>
      <c r="AC74" s="71"/>
      <c r="AD74" s="67"/>
      <c r="AE74" s="78"/>
      <c r="AF74" s="78"/>
      <c r="AG74" s="71"/>
      <c r="AH74" s="67"/>
      <c r="AI74" s="67"/>
      <c r="AJ74" s="67"/>
      <c r="AK74" s="80"/>
      <c r="AL74" s="78"/>
      <c r="AM74" s="67"/>
      <c r="AN74" s="71"/>
      <c r="AO74" s="71"/>
      <c r="AP74" s="71"/>
      <c r="AQ74" s="71"/>
      <c r="AR74" s="71"/>
      <c r="AS74" s="71"/>
      <c r="AT74" s="105"/>
    </row>
    <row r="75" spans="1:46" s="60" customFormat="1" ht="120" customHeight="1">
      <c r="A75" s="71"/>
      <c r="B75" s="78"/>
      <c r="C75" s="78"/>
      <c r="D75" s="71"/>
      <c r="E75" s="71"/>
      <c r="F75" s="71"/>
      <c r="G75" s="71"/>
      <c r="H75" s="71"/>
      <c r="I75" s="71"/>
      <c r="J75" s="71"/>
      <c r="K75" s="78"/>
      <c r="L75" s="89"/>
      <c r="M75" s="85"/>
      <c r="N75" s="71"/>
      <c r="O75" s="71"/>
      <c r="P75" s="71"/>
      <c r="Q75" s="71"/>
      <c r="R75" s="71"/>
      <c r="S75" s="71"/>
      <c r="T75" s="71"/>
      <c r="U75" s="71"/>
      <c r="V75" s="71"/>
      <c r="W75" s="71"/>
      <c r="X75" s="97"/>
      <c r="Y75" s="71"/>
      <c r="Z75" s="71"/>
      <c r="AA75" s="104"/>
      <c r="AB75" s="71"/>
      <c r="AC75" s="67"/>
      <c r="AD75" s="78"/>
      <c r="AE75" s="78"/>
      <c r="AF75" s="71"/>
      <c r="AG75" s="71"/>
      <c r="AH75" s="78"/>
      <c r="AI75" s="71"/>
      <c r="AJ75" s="71"/>
      <c r="AK75" s="78"/>
      <c r="AL75" s="78"/>
      <c r="AM75" s="71"/>
      <c r="AN75" s="71"/>
      <c r="AO75" s="71"/>
      <c r="AP75" s="71"/>
      <c r="AQ75" s="71"/>
      <c r="AR75" s="71"/>
      <c r="AS75" s="71"/>
      <c r="AT75" s="71"/>
    </row>
    <row r="76" spans="1:46" s="60" customFormat="1" ht="120" customHeight="1">
      <c r="A76" s="71"/>
      <c r="B76" s="78"/>
      <c r="C76" s="78"/>
      <c r="D76" s="71"/>
      <c r="E76" s="71"/>
      <c r="F76" s="71"/>
      <c r="G76" s="71"/>
      <c r="H76" s="71"/>
      <c r="I76" s="71"/>
      <c r="J76" s="89"/>
      <c r="K76" s="85"/>
      <c r="L76" s="84"/>
      <c r="M76" s="106"/>
      <c r="N76" s="71"/>
      <c r="O76" s="71"/>
      <c r="P76" s="71"/>
      <c r="Q76" s="71"/>
      <c r="R76" s="71"/>
      <c r="S76" s="71"/>
      <c r="T76" s="71"/>
      <c r="U76" s="71"/>
      <c r="V76" s="71"/>
      <c r="W76" s="71"/>
      <c r="X76" s="97"/>
      <c r="Y76" s="71"/>
      <c r="Z76" s="71"/>
      <c r="AA76" s="104"/>
      <c r="AB76" s="71"/>
      <c r="AC76" s="67"/>
      <c r="AD76" s="78"/>
      <c r="AE76" s="78"/>
      <c r="AF76" s="78"/>
      <c r="AG76" s="71"/>
      <c r="AH76" s="67"/>
      <c r="AI76" s="71"/>
      <c r="AJ76" s="71"/>
      <c r="AK76" s="78"/>
      <c r="AL76" s="78"/>
      <c r="AM76" s="71"/>
      <c r="AN76" s="71"/>
      <c r="AO76" s="71"/>
      <c r="AP76" s="71"/>
      <c r="AQ76" s="71"/>
      <c r="AR76" s="71"/>
      <c r="AS76" s="71"/>
      <c r="AT76" s="71"/>
    </row>
    <row r="77" spans="1:46" s="60" customFormat="1" ht="120" customHeight="1">
      <c r="A77" s="71"/>
      <c r="B77" s="78"/>
      <c r="C77" s="78"/>
      <c r="D77" s="71"/>
      <c r="E77" s="71"/>
      <c r="F77" s="71"/>
      <c r="G77" s="71"/>
      <c r="H77" s="71"/>
      <c r="I77" s="71"/>
      <c r="J77" s="84"/>
      <c r="K77" s="106"/>
      <c r="L77" s="84"/>
      <c r="M77" s="106"/>
      <c r="N77" s="71"/>
      <c r="O77" s="84"/>
      <c r="P77" s="71"/>
      <c r="Q77" s="89"/>
      <c r="R77" s="71"/>
      <c r="S77" s="71"/>
      <c r="T77" s="71"/>
      <c r="U77" s="71"/>
      <c r="V77" s="71"/>
      <c r="W77" s="71"/>
      <c r="X77" s="97"/>
      <c r="Y77" s="71"/>
      <c r="Z77" s="71"/>
      <c r="AA77" s="104"/>
      <c r="AB77" s="71"/>
      <c r="AC77" s="71"/>
      <c r="AD77" s="78"/>
      <c r="AE77" s="67"/>
      <c r="AF77" s="67"/>
      <c r="AG77" s="71"/>
      <c r="AH77" s="67"/>
      <c r="AI77" s="71"/>
      <c r="AJ77" s="71"/>
      <c r="AK77" s="78"/>
      <c r="AL77" s="78"/>
      <c r="AM77" s="71"/>
      <c r="AN77" s="67"/>
      <c r="AO77" s="67"/>
      <c r="AP77" s="67"/>
      <c r="AQ77" s="67"/>
      <c r="AR77" s="71"/>
      <c r="AS77" s="67"/>
      <c r="AT77" s="105"/>
    </row>
    <row r="78" spans="1:46" s="60" customFormat="1" ht="120" customHeight="1">
      <c r="A78" s="71"/>
      <c r="B78" s="78"/>
      <c r="C78" s="78"/>
      <c r="D78" s="71"/>
      <c r="E78" s="71"/>
      <c r="F78" s="71"/>
      <c r="G78" s="71"/>
      <c r="H78" s="71"/>
      <c r="I78" s="71"/>
      <c r="J78" s="84"/>
      <c r="K78" s="106"/>
      <c r="L78" s="84"/>
      <c r="M78" s="106"/>
      <c r="N78" s="71"/>
      <c r="O78" s="84"/>
      <c r="P78" s="71"/>
      <c r="Q78" s="89"/>
      <c r="R78" s="71"/>
      <c r="S78" s="71"/>
      <c r="T78" s="71"/>
      <c r="U78" s="71"/>
      <c r="V78" s="71"/>
      <c r="W78" s="71"/>
      <c r="X78" s="97"/>
      <c r="Y78" s="71"/>
      <c r="Z78" s="71"/>
      <c r="AA78" s="104"/>
      <c r="AB78" s="71"/>
      <c r="AC78" s="71"/>
      <c r="AD78" s="78"/>
      <c r="AE78" s="67"/>
      <c r="AF78" s="67"/>
      <c r="AG78" s="71"/>
      <c r="AH78" s="67"/>
      <c r="AI78" s="71"/>
      <c r="AJ78" s="71"/>
      <c r="AK78" s="78"/>
      <c r="AL78" s="78"/>
      <c r="AM78" s="71"/>
      <c r="AN78" s="67"/>
      <c r="AO78" s="67"/>
      <c r="AP78" s="67"/>
      <c r="AQ78" s="67"/>
      <c r="AR78" s="71"/>
      <c r="AS78" s="67"/>
      <c r="AT78" s="78"/>
    </row>
    <row r="79" spans="1:46" s="60" customFormat="1" ht="120" customHeight="1">
      <c r="A79" s="71"/>
      <c r="B79" s="78"/>
      <c r="C79" s="78"/>
      <c r="D79" s="71"/>
      <c r="E79" s="71"/>
      <c r="F79" s="71"/>
      <c r="G79" s="71"/>
      <c r="H79" s="71"/>
      <c r="I79" s="71"/>
      <c r="J79" s="84"/>
      <c r="K79" s="106"/>
      <c r="L79" s="89"/>
      <c r="M79" s="85"/>
      <c r="N79" s="71"/>
      <c r="O79" s="84"/>
      <c r="P79" s="71"/>
      <c r="Q79" s="89"/>
      <c r="R79" s="71"/>
      <c r="S79" s="71"/>
      <c r="T79" s="71"/>
      <c r="U79" s="71"/>
      <c r="V79" s="71"/>
      <c r="W79" s="71"/>
      <c r="X79" s="97"/>
      <c r="Y79" s="71"/>
      <c r="Z79" s="71"/>
      <c r="AA79" s="104"/>
      <c r="AB79" s="71"/>
      <c r="AC79" s="71"/>
      <c r="AD79" s="78"/>
      <c r="AE79" s="67"/>
      <c r="AF79" s="67"/>
      <c r="AG79" s="71"/>
      <c r="AH79" s="67"/>
      <c r="AI79" s="71"/>
      <c r="AJ79" s="71"/>
      <c r="AK79" s="78"/>
      <c r="AL79" s="78"/>
      <c r="AM79" s="71"/>
      <c r="AN79" s="67"/>
      <c r="AO79" s="67"/>
      <c r="AP79" s="67"/>
      <c r="AQ79" s="67"/>
      <c r="AR79" s="71"/>
      <c r="AS79" s="67"/>
      <c r="AT79" s="105"/>
    </row>
    <row r="80" spans="1:46" s="60" customFormat="1" ht="120" customHeight="1">
      <c r="A80" s="71"/>
      <c r="B80" s="78"/>
      <c r="C80" s="78"/>
      <c r="D80" s="71"/>
      <c r="E80" s="71"/>
      <c r="F80" s="71"/>
      <c r="G80" s="71"/>
      <c r="H80" s="71"/>
      <c r="I80" s="71"/>
      <c r="J80" s="89"/>
      <c r="K80" s="85"/>
      <c r="L80" s="89"/>
      <c r="M80" s="85"/>
      <c r="N80" s="71"/>
      <c r="O80" s="84"/>
      <c r="P80" s="71"/>
      <c r="Q80" s="89"/>
      <c r="R80" s="71"/>
      <c r="S80" s="71"/>
      <c r="T80" s="71"/>
      <c r="U80" s="71"/>
      <c r="V80" s="71"/>
      <c r="W80" s="71"/>
      <c r="X80" s="97"/>
      <c r="Y80" s="71"/>
      <c r="Z80" s="71"/>
      <c r="AA80" s="104"/>
      <c r="AB80" s="71"/>
      <c r="AC80" s="71"/>
      <c r="AD80" s="78"/>
      <c r="AE80" s="67"/>
      <c r="AF80" s="67"/>
      <c r="AG80" s="71"/>
      <c r="AH80" s="67"/>
      <c r="AI80" s="71"/>
      <c r="AJ80" s="71"/>
      <c r="AK80" s="78"/>
      <c r="AL80" s="78"/>
      <c r="AM80" s="71"/>
      <c r="AN80" s="67"/>
      <c r="AO80" s="67"/>
      <c r="AP80" s="67"/>
      <c r="AQ80" s="67"/>
      <c r="AR80" s="71"/>
      <c r="AS80" s="67"/>
      <c r="AT80" s="105"/>
    </row>
    <row r="81" spans="1:46" s="60" customFormat="1" ht="120" customHeight="1">
      <c r="A81" s="71"/>
      <c r="B81" s="78"/>
      <c r="C81" s="78"/>
      <c r="D81" s="71"/>
      <c r="E81" s="71"/>
      <c r="F81" s="71"/>
      <c r="G81" s="71"/>
      <c r="H81" s="71"/>
      <c r="I81" s="71"/>
      <c r="J81" s="89"/>
      <c r="K81" s="85"/>
      <c r="L81" s="89"/>
      <c r="M81" s="85"/>
      <c r="N81" s="71"/>
      <c r="O81" s="89"/>
      <c r="P81" s="71"/>
      <c r="Q81" s="89"/>
      <c r="R81" s="71"/>
      <c r="S81" s="71"/>
      <c r="T81" s="71"/>
      <c r="U81" s="71"/>
      <c r="V81" s="71"/>
      <c r="W81" s="71"/>
      <c r="X81" s="97"/>
      <c r="Y81" s="71"/>
      <c r="Z81" s="71"/>
      <c r="AA81" s="104"/>
      <c r="AB81" s="71"/>
      <c r="AC81" s="71"/>
      <c r="AD81" s="78"/>
      <c r="AE81" s="67"/>
      <c r="AF81" s="67"/>
      <c r="AG81" s="71"/>
      <c r="AH81" s="67"/>
      <c r="AI81" s="71"/>
      <c r="AJ81" s="71"/>
      <c r="AK81" s="78"/>
      <c r="AL81" s="78"/>
      <c r="AM81" s="71"/>
      <c r="AN81" s="67"/>
      <c r="AO81" s="67"/>
      <c r="AP81" s="67"/>
      <c r="AQ81" s="67"/>
      <c r="AR81" s="71"/>
      <c r="AS81" s="67"/>
      <c r="AT81" s="105"/>
    </row>
    <row r="82" spans="1:46" s="60" customFormat="1" ht="120" customHeight="1">
      <c r="A82" s="71"/>
      <c r="B82" s="78"/>
      <c r="C82" s="78"/>
      <c r="D82" s="71"/>
      <c r="E82" s="71"/>
      <c r="F82" s="71"/>
      <c r="G82" s="71"/>
      <c r="H82" s="71"/>
      <c r="I82" s="71"/>
      <c r="J82" s="89"/>
      <c r="K82" s="85"/>
      <c r="L82" s="89"/>
      <c r="M82" s="85"/>
      <c r="N82" s="71"/>
      <c r="O82" s="84"/>
      <c r="P82" s="71"/>
      <c r="Q82" s="89"/>
      <c r="R82" s="71"/>
      <c r="S82" s="71"/>
      <c r="T82" s="71"/>
      <c r="U82" s="71"/>
      <c r="V82" s="71"/>
      <c r="W82" s="71"/>
      <c r="X82" s="97"/>
      <c r="Y82" s="71"/>
      <c r="Z82" s="71"/>
      <c r="AA82" s="104"/>
      <c r="AB82" s="71"/>
      <c r="AC82" s="71"/>
      <c r="AD82" s="78"/>
      <c r="AE82" s="67"/>
      <c r="AF82" s="67"/>
      <c r="AG82" s="71"/>
      <c r="AH82" s="67"/>
      <c r="AI82" s="71"/>
      <c r="AJ82" s="71"/>
      <c r="AK82" s="78"/>
      <c r="AL82" s="78"/>
      <c r="AM82" s="71"/>
      <c r="AN82" s="67"/>
      <c r="AO82" s="67"/>
      <c r="AP82" s="67"/>
      <c r="AQ82" s="67"/>
      <c r="AR82" s="71"/>
      <c r="AS82" s="67"/>
      <c r="AT82" s="78"/>
    </row>
    <row r="83" spans="1:46" s="60" customFormat="1" ht="120" customHeight="1">
      <c r="A83" s="71"/>
      <c r="B83" s="78"/>
      <c r="C83" s="78"/>
      <c r="D83" s="71"/>
      <c r="E83" s="71"/>
      <c r="F83" s="71"/>
      <c r="G83" s="71"/>
      <c r="H83" s="71"/>
      <c r="I83" s="71"/>
      <c r="J83" s="89"/>
      <c r="K83" s="85"/>
      <c r="L83" s="89"/>
      <c r="M83" s="85"/>
      <c r="N83" s="71"/>
      <c r="O83" s="84"/>
      <c r="P83" s="71"/>
      <c r="Q83" s="89"/>
      <c r="R83" s="71"/>
      <c r="S83" s="71"/>
      <c r="T83" s="71"/>
      <c r="U83" s="71"/>
      <c r="V83" s="71"/>
      <c r="W83" s="71"/>
      <c r="X83" s="97"/>
      <c r="Y83" s="71"/>
      <c r="Z83" s="71"/>
      <c r="AA83" s="104"/>
      <c r="AB83" s="71"/>
      <c r="AC83" s="71"/>
      <c r="AD83" s="78"/>
      <c r="AE83" s="67"/>
      <c r="AF83" s="67"/>
      <c r="AG83" s="71"/>
      <c r="AH83" s="67"/>
      <c r="AI83" s="71"/>
      <c r="AJ83" s="71"/>
      <c r="AK83" s="78"/>
      <c r="AL83" s="78"/>
      <c r="AM83" s="71"/>
      <c r="AN83" s="67"/>
      <c r="AO83" s="67"/>
      <c r="AP83" s="67"/>
      <c r="AQ83" s="67"/>
      <c r="AR83" s="71"/>
      <c r="AS83" s="67"/>
      <c r="AT83" s="105"/>
    </row>
    <row r="84" spans="1:46" s="60" customFormat="1" ht="120" customHeight="1">
      <c r="A84" s="71"/>
      <c r="B84" s="78"/>
      <c r="C84" s="78"/>
      <c r="D84" s="71"/>
      <c r="E84" s="71"/>
      <c r="F84" s="71"/>
      <c r="G84" s="71"/>
      <c r="H84" s="71"/>
      <c r="I84" s="71"/>
      <c r="J84" s="89"/>
      <c r="K84" s="85"/>
      <c r="L84" s="84"/>
      <c r="M84" s="70"/>
      <c r="N84" s="71"/>
      <c r="O84" s="84"/>
      <c r="P84" s="71"/>
      <c r="Q84" s="89"/>
      <c r="R84" s="71"/>
      <c r="S84" s="71"/>
      <c r="T84" s="71"/>
      <c r="U84" s="71"/>
      <c r="V84" s="71"/>
      <c r="W84" s="71"/>
      <c r="X84" s="97"/>
      <c r="Y84" s="71"/>
      <c r="Z84" s="71"/>
      <c r="AA84" s="104"/>
      <c r="AB84" s="71"/>
      <c r="AC84" s="71"/>
      <c r="AD84" s="78"/>
      <c r="AE84" s="67"/>
      <c r="AF84" s="67"/>
      <c r="AG84" s="71"/>
      <c r="AH84" s="67"/>
      <c r="AI84" s="71"/>
      <c r="AJ84" s="71"/>
      <c r="AK84" s="78"/>
      <c r="AL84" s="78"/>
      <c r="AM84" s="71"/>
      <c r="AN84" s="67"/>
      <c r="AO84" s="67"/>
      <c r="AP84" s="67"/>
      <c r="AQ84" s="67"/>
      <c r="AR84" s="71"/>
      <c r="AS84" s="67"/>
      <c r="AT84" s="105"/>
    </row>
    <row r="85" spans="1:46" s="60" customFormat="1" ht="120" customHeight="1">
      <c r="A85" s="71"/>
      <c r="B85" s="78"/>
      <c r="C85" s="78"/>
      <c r="D85" s="71"/>
      <c r="E85" s="71"/>
      <c r="F85" s="71"/>
      <c r="G85" s="71"/>
      <c r="H85" s="71"/>
      <c r="I85" s="71"/>
      <c r="J85" s="84"/>
      <c r="K85" s="70"/>
      <c r="L85" s="84"/>
      <c r="M85" s="70"/>
      <c r="N85" s="71"/>
      <c r="O85" s="71"/>
      <c r="P85" s="71"/>
      <c r="Q85" s="89"/>
      <c r="R85" s="71"/>
      <c r="S85" s="71"/>
      <c r="T85" s="71"/>
      <c r="U85" s="71"/>
      <c r="V85" s="71"/>
      <c r="W85" s="71"/>
      <c r="X85" s="97"/>
      <c r="Y85" s="71"/>
      <c r="Z85" s="71"/>
      <c r="AA85" s="104"/>
      <c r="AB85" s="71"/>
      <c r="AC85" s="71"/>
      <c r="AD85" s="78"/>
      <c r="AE85" s="67"/>
      <c r="AF85" s="67"/>
      <c r="AG85" s="71"/>
      <c r="AH85" s="67"/>
      <c r="AI85" s="71"/>
      <c r="AJ85" s="71"/>
      <c r="AK85" s="78"/>
      <c r="AL85" s="78"/>
      <c r="AM85" s="71"/>
      <c r="AN85" s="67"/>
      <c r="AO85" s="67"/>
      <c r="AP85" s="67"/>
      <c r="AQ85" s="67"/>
      <c r="AR85" s="71"/>
      <c r="AS85" s="67"/>
      <c r="AT85" s="105"/>
    </row>
    <row r="86" spans="1:46" s="60" customFormat="1" ht="120" customHeight="1">
      <c r="A86" s="71"/>
      <c r="B86" s="78"/>
      <c r="D86" s="71"/>
      <c r="E86" s="71"/>
      <c r="F86" s="71"/>
      <c r="G86" s="71"/>
      <c r="H86" s="71"/>
      <c r="I86" s="71"/>
      <c r="J86" s="84"/>
      <c r="K86" s="70"/>
      <c r="L86" s="84"/>
      <c r="M86" s="70"/>
      <c r="N86" s="71"/>
      <c r="O86" s="71"/>
      <c r="P86" s="71"/>
      <c r="Q86" s="89"/>
      <c r="R86" s="71"/>
      <c r="S86" s="71"/>
      <c r="T86" s="71"/>
      <c r="U86" s="71"/>
      <c r="V86" s="71"/>
      <c r="W86" s="71"/>
      <c r="X86" s="97"/>
      <c r="Y86" s="71"/>
      <c r="Z86" s="71"/>
      <c r="AA86" s="104"/>
      <c r="AB86" s="71"/>
      <c r="AC86" s="71"/>
      <c r="AD86" s="78"/>
      <c r="AE86" s="67"/>
      <c r="AF86" s="67"/>
      <c r="AG86" s="71"/>
      <c r="AH86" s="67"/>
      <c r="AI86" s="71"/>
      <c r="AJ86" s="71"/>
      <c r="AK86" s="78"/>
      <c r="AL86" s="78"/>
      <c r="AM86" s="71"/>
      <c r="AN86" s="71"/>
      <c r="AO86" s="71"/>
      <c r="AP86" s="71"/>
      <c r="AQ86" s="71"/>
      <c r="AR86" s="71"/>
      <c r="AS86" s="71"/>
      <c r="AT86" s="78"/>
    </row>
    <row r="87" spans="1:46" s="60" customFormat="1" ht="120" customHeight="1">
      <c r="A87" s="71"/>
      <c r="B87" s="78"/>
      <c r="C87" s="78"/>
      <c r="D87" s="71"/>
      <c r="E87" s="71"/>
      <c r="F87" s="71"/>
      <c r="G87" s="71"/>
      <c r="H87" s="71"/>
      <c r="I87" s="71"/>
      <c r="J87" s="84"/>
      <c r="K87" s="70"/>
      <c r="L87" s="84"/>
      <c r="M87" s="70"/>
      <c r="N87" s="71"/>
      <c r="O87" s="71"/>
      <c r="P87" s="71"/>
      <c r="Q87" s="89"/>
      <c r="R87" s="71"/>
      <c r="S87" s="71"/>
      <c r="T87" s="71"/>
      <c r="U87" s="71"/>
      <c r="V87" s="71"/>
      <c r="W87" s="71"/>
      <c r="X87" s="97"/>
      <c r="Y87" s="71"/>
      <c r="Z87" s="71"/>
      <c r="AA87" s="104"/>
      <c r="AB87" s="71"/>
      <c r="AC87" s="71"/>
      <c r="AD87" s="78"/>
      <c r="AE87" s="67"/>
      <c r="AF87" s="67"/>
      <c r="AG87" s="71"/>
      <c r="AH87" s="67"/>
      <c r="AI87" s="71"/>
      <c r="AJ87" s="71"/>
      <c r="AK87" s="78"/>
      <c r="AL87" s="78"/>
      <c r="AM87" s="71"/>
      <c r="AN87" s="67"/>
      <c r="AO87" s="67"/>
      <c r="AP87" s="67"/>
      <c r="AQ87" s="67"/>
      <c r="AR87" s="71"/>
      <c r="AS87" s="67"/>
      <c r="AT87" s="105"/>
    </row>
    <row r="88" spans="1:46" s="60" customFormat="1" ht="120" customHeight="1">
      <c r="A88" s="71"/>
      <c r="B88" s="78"/>
      <c r="C88" s="78"/>
      <c r="D88" s="71"/>
      <c r="E88" s="71"/>
      <c r="F88" s="71"/>
      <c r="G88" s="71"/>
      <c r="H88" s="71"/>
      <c r="I88" s="71"/>
      <c r="J88" s="84"/>
      <c r="K88" s="106"/>
      <c r="L88" s="84"/>
      <c r="M88" s="106"/>
      <c r="N88" s="71"/>
      <c r="O88" s="71"/>
      <c r="P88" s="71"/>
      <c r="Q88" s="89"/>
      <c r="R88" s="71"/>
      <c r="S88" s="71"/>
      <c r="T88" s="71"/>
      <c r="U88" s="71"/>
      <c r="V88" s="71"/>
      <c r="W88" s="71"/>
      <c r="X88" s="97"/>
      <c r="Y88" s="71"/>
      <c r="Z88" s="71"/>
      <c r="AA88" s="104"/>
      <c r="AB88" s="71"/>
      <c r="AC88" s="71"/>
      <c r="AD88" s="78"/>
      <c r="AE88" s="67"/>
      <c r="AF88" s="67"/>
      <c r="AG88" s="71"/>
      <c r="AH88" s="67"/>
      <c r="AI88" s="71"/>
      <c r="AJ88" s="71"/>
      <c r="AK88" s="78"/>
      <c r="AL88" s="78"/>
      <c r="AM88" s="71"/>
      <c r="AN88" s="67"/>
      <c r="AO88" s="67"/>
      <c r="AP88" s="67"/>
      <c r="AQ88" s="67"/>
      <c r="AR88" s="71"/>
      <c r="AS88" s="67"/>
      <c r="AT88" s="105"/>
    </row>
    <row r="89" spans="1:46" s="60" customFormat="1" ht="120" customHeight="1">
      <c r="A89" s="71"/>
      <c r="B89" s="78"/>
      <c r="C89" s="78"/>
      <c r="D89" s="71"/>
      <c r="E89" s="71"/>
      <c r="F89" s="71"/>
      <c r="G89" s="71"/>
      <c r="H89" s="71"/>
      <c r="I89" s="71"/>
      <c r="J89" s="84"/>
      <c r="K89" s="70"/>
      <c r="L89" s="84"/>
      <c r="M89" s="70"/>
      <c r="N89" s="71"/>
      <c r="O89" s="71"/>
      <c r="P89" s="71"/>
      <c r="Q89" s="89"/>
      <c r="R89" s="71"/>
      <c r="S89" s="71"/>
      <c r="T89" s="71"/>
      <c r="U89" s="71"/>
      <c r="V89" s="71"/>
      <c r="W89" s="71"/>
      <c r="X89" s="97"/>
      <c r="Y89" s="71"/>
      <c r="Z89" s="71"/>
      <c r="AA89" s="104"/>
      <c r="AB89" s="71"/>
      <c r="AC89" s="71"/>
      <c r="AD89" s="78"/>
      <c r="AE89" s="67"/>
      <c r="AF89" s="67"/>
      <c r="AG89" s="71"/>
      <c r="AH89" s="67"/>
      <c r="AI89" s="71"/>
      <c r="AJ89" s="71"/>
      <c r="AK89" s="78"/>
      <c r="AL89" s="78"/>
      <c r="AM89" s="71"/>
      <c r="AN89" s="67"/>
      <c r="AO89" s="67"/>
      <c r="AP89" s="67"/>
      <c r="AQ89" s="67"/>
      <c r="AR89" s="71"/>
      <c r="AS89" s="67"/>
      <c r="AT89" s="78"/>
    </row>
    <row r="90" spans="1:46" s="60" customFormat="1" ht="120" customHeight="1">
      <c r="A90" s="71"/>
      <c r="B90" s="78"/>
      <c r="C90" s="78"/>
      <c r="D90" s="71"/>
      <c r="E90" s="71"/>
      <c r="F90" s="71"/>
      <c r="G90" s="71"/>
      <c r="H90" s="71"/>
      <c r="I90" s="71"/>
      <c r="J90" s="84"/>
      <c r="K90" s="70"/>
      <c r="L90" s="84"/>
      <c r="M90" s="70"/>
      <c r="N90" s="71"/>
      <c r="O90" s="84"/>
      <c r="P90" s="71"/>
      <c r="Q90" s="84"/>
      <c r="R90" s="71"/>
      <c r="S90" s="71"/>
      <c r="T90" s="71"/>
      <c r="U90" s="71"/>
      <c r="V90" s="71"/>
      <c r="W90" s="71"/>
      <c r="X90" s="97"/>
      <c r="Y90" s="71"/>
      <c r="Z90" s="71"/>
      <c r="AA90" s="104"/>
      <c r="AB90" s="71"/>
      <c r="AC90" s="71"/>
      <c r="AD90" s="78"/>
      <c r="AE90" s="67"/>
      <c r="AF90" s="67"/>
      <c r="AG90" s="71"/>
      <c r="AH90" s="67"/>
      <c r="AI90" s="71"/>
      <c r="AJ90" s="71"/>
      <c r="AK90" s="78"/>
      <c r="AL90" s="78"/>
      <c r="AM90" s="71"/>
      <c r="AN90" s="67"/>
      <c r="AO90" s="67"/>
      <c r="AP90" s="67"/>
      <c r="AQ90" s="67"/>
      <c r="AR90" s="71"/>
      <c r="AS90" s="67"/>
      <c r="AT90" s="105"/>
    </row>
    <row r="91" spans="1:46" s="60" customFormat="1" ht="120" customHeight="1">
      <c r="A91" s="71"/>
      <c r="B91" s="78"/>
      <c r="C91" s="78"/>
      <c r="D91" s="71"/>
      <c r="E91" s="71"/>
      <c r="F91" s="71"/>
      <c r="G91" s="71"/>
      <c r="H91" s="71"/>
      <c r="I91" s="71"/>
      <c r="J91" s="84"/>
      <c r="K91" s="70"/>
      <c r="L91" s="84"/>
      <c r="M91" s="70"/>
      <c r="N91" s="71"/>
      <c r="O91" s="84"/>
      <c r="P91" s="71"/>
      <c r="Q91" s="84"/>
      <c r="R91" s="71"/>
      <c r="S91" s="71"/>
      <c r="T91" s="71"/>
      <c r="U91" s="71"/>
      <c r="V91" s="71"/>
      <c r="W91" s="71"/>
      <c r="X91" s="97"/>
      <c r="Y91" s="71"/>
      <c r="Z91" s="71"/>
      <c r="AA91" s="104"/>
      <c r="AB91" s="71"/>
      <c r="AC91" s="71"/>
      <c r="AD91" s="78"/>
      <c r="AE91" s="67"/>
      <c r="AF91" s="67"/>
      <c r="AG91" s="71"/>
      <c r="AH91" s="67"/>
      <c r="AI91" s="71"/>
      <c r="AJ91" s="71"/>
      <c r="AK91" s="78"/>
      <c r="AL91" s="78"/>
      <c r="AM91" s="71"/>
      <c r="AN91" s="67"/>
      <c r="AO91" s="67"/>
      <c r="AP91" s="67"/>
      <c r="AQ91" s="67"/>
      <c r="AR91" s="71"/>
      <c r="AS91" s="67"/>
      <c r="AT91" s="105"/>
    </row>
    <row r="92" spans="1:46" s="60" customFormat="1" ht="120" customHeight="1">
      <c r="A92" s="71"/>
      <c r="B92" s="78"/>
      <c r="C92" s="78"/>
      <c r="D92" s="71"/>
      <c r="E92" s="71"/>
      <c r="F92" s="71"/>
      <c r="G92" s="71"/>
      <c r="H92" s="71"/>
      <c r="I92" s="71"/>
      <c r="J92" s="84"/>
      <c r="K92" s="70"/>
      <c r="L92" s="84"/>
      <c r="M92" s="70"/>
      <c r="N92" s="71"/>
      <c r="O92" s="84"/>
      <c r="P92" s="71"/>
      <c r="Q92" s="89"/>
      <c r="R92" s="71"/>
      <c r="S92" s="71"/>
      <c r="T92" s="71"/>
      <c r="U92" s="71"/>
      <c r="V92" s="71"/>
      <c r="W92" s="71"/>
      <c r="X92" s="97"/>
      <c r="Y92" s="71"/>
      <c r="Z92" s="71"/>
      <c r="AA92" s="104"/>
      <c r="AB92" s="71"/>
      <c r="AC92" s="71"/>
      <c r="AD92" s="78"/>
      <c r="AE92" s="67"/>
      <c r="AF92" s="67"/>
      <c r="AG92" s="71"/>
      <c r="AH92" s="67"/>
      <c r="AI92" s="71"/>
      <c r="AJ92" s="71"/>
      <c r="AK92" s="78"/>
      <c r="AL92" s="78"/>
      <c r="AM92" s="71"/>
      <c r="AN92" s="67"/>
      <c r="AO92" s="67"/>
      <c r="AP92" s="67"/>
      <c r="AQ92" s="67"/>
      <c r="AR92" s="71"/>
      <c r="AS92" s="67"/>
      <c r="AT92" s="78"/>
    </row>
    <row r="93" spans="1:46" s="60" customFormat="1" ht="120" customHeight="1">
      <c r="A93" s="71"/>
      <c r="B93" s="78"/>
      <c r="C93" s="78"/>
      <c r="D93" s="71"/>
      <c r="E93" s="71"/>
      <c r="F93" s="71"/>
      <c r="G93" s="71"/>
      <c r="H93" s="71"/>
      <c r="I93" s="71"/>
      <c r="J93" s="84"/>
      <c r="K93" s="70"/>
      <c r="L93" s="84"/>
      <c r="M93" s="70"/>
      <c r="N93" s="71"/>
      <c r="O93" s="84"/>
      <c r="P93" s="71"/>
      <c r="Q93" s="89"/>
      <c r="R93" s="71"/>
      <c r="S93" s="71"/>
      <c r="T93" s="71"/>
      <c r="U93" s="71"/>
      <c r="V93" s="71"/>
      <c r="W93" s="71"/>
      <c r="X93" s="97"/>
      <c r="Y93" s="71"/>
      <c r="Z93" s="71"/>
      <c r="AA93" s="104"/>
      <c r="AB93" s="71"/>
      <c r="AC93" s="71"/>
      <c r="AD93" s="78"/>
      <c r="AE93" s="67"/>
      <c r="AF93" s="67"/>
      <c r="AG93" s="71"/>
      <c r="AH93" s="67"/>
      <c r="AI93" s="71"/>
      <c r="AJ93" s="71"/>
      <c r="AK93" s="78"/>
      <c r="AL93" s="78"/>
      <c r="AM93" s="71"/>
      <c r="AN93" s="67"/>
      <c r="AO93" s="67"/>
      <c r="AP93" s="67"/>
      <c r="AQ93" s="67"/>
      <c r="AR93" s="71"/>
      <c r="AS93" s="67"/>
      <c r="AT93" s="105"/>
    </row>
    <row r="94" spans="1:46" s="60" customFormat="1" ht="120" customHeight="1">
      <c r="A94" s="71"/>
      <c r="B94" s="78"/>
      <c r="C94" s="78"/>
      <c r="D94" s="71"/>
      <c r="E94" s="71"/>
      <c r="F94" s="71"/>
      <c r="G94" s="71"/>
      <c r="H94" s="71"/>
      <c r="I94" s="71"/>
      <c r="J94" s="84"/>
      <c r="K94" s="70"/>
      <c r="L94" s="84"/>
      <c r="M94" s="70"/>
      <c r="N94" s="71"/>
      <c r="O94" s="84"/>
      <c r="P94" s="71"/>
      <c r="Q94" s="89"/>
      <c r="R94" s="71"/>
      <c r="S94" s="71"/>
      <c r="T94" s="71"/>
      <c r="U94" s="71"/>
      <c r="V94" s="71"/>
      <c r="W94" s="71"/>
      <c r="X94" s="97"/>
      <c r="Y94" s="71"/>
      <c r="Z94" s="71"/>
      <c r="AA94" s="104"/>
      <c r="AB94" s="71"/>
      <c r="AC94" s="71"/>
      <c r="AD94" s="78"/>
      <c r="AE94" s="67"/>
      <c r="AF94" s="67"/>
      <c r="AG94" s="71"/>
      <c r="AH94" s="67"/>
      <c r="AI94" s="71"/>
      <c r="AJ94" s="71"/>
      <c r="AK94" s="78"/>
      <c r="AL94" s="78"/>
      <c r="AM94" s="71"/>
      <c r="AN94" s="67"/>
      <c r="AO94" s="67"/>
      <c r="AP94" s="67"/>
      <c r="AQ94" s="67"/>
      <c r="AR94" s="71"/>
      <c r="AS94" s="67"/>
      <c r="AT94" s="78"/>
    </row>
    <row r="95" spans="1:46" s="60" customFormat="1" ht="120" customHeight="1">
      <c r="A95" s="71"/>
      <c r="B95" s="78"/>
      <c r="C95" s="78"/>
      <c r="D95" s="71"/>
      <c r="E95" s="71"/>
      <c r="F95" s="71"/>
      <c r="G95" s="71"/>
      <c r="H95" s="71"/>
      <c r="I95" s="71"/>
      <c r="J95" s="84"/>
      <c r="K95" s="70"/>
      <c r="L95" s="84"/>
      <c r="M95" s="70"/>
      <c r="N95" s="71"/>
      <c r="O95" s="84"/>
      <c r="P95" s="71"/>
      <c r="Q95" s="89"/>
      <c r="R95" s="71"/>
      <c r="S95" s="71"/>
      <c r="T95" s="71"/>
      <c r="U95" s="71"/>
      <c r="V95" s="71"/>
      <c r="W95" s="71"/>
      <c r="X95" s="97"/>
      <c r="Y95" s="71"/>
      <c r="Z95" s="71"/>
      <c r="AA95" s="104"/>
      <c r="AB95" s="71"/>
      <c r="AC95" s="71"/>
      <c r="AD95" s="78"/>
      <c r="AE95" s="67"/>
      <c r="AF95" s="67"/>
      <c r="AG95" s="71"/>
      <c r="AH95" s="67"/>
      <c r="AI95" s="71"/>
      <c r="AJ95" s="71"/>
      <c r="AK95" s="78"/>
      <c r="AL95" s="78"/>
      <c r="AM95" s="71"/>
      <c r="AN95" s="67"/>
      <c r="AO95" s="67"/>
      <c r="AP95" s="67"/>
      <c r="AQ95" s="67"/>
      <c r="AR95" s="71"/>
      <c r="AS95" s="67"/>
      <c r="AT95" s="78"/>
    </row>
    <row r="96" spans="1:46" s="60" customFormat="1" ht="120" customHeight="1">
      <c r="A96" s="71"/>
      <c r="B96" s="78"/>
      <c r="C96" s="78"/>
      <c r="D96" s="71"/>
      <c r="E96" s="71"/>
      <c r="F96" s="71"/>
      <c r="G96" s="71"/>
      <c r="H96" s="71"/>
      <c r="I96" s="71"/>
      <c r="J96" s="84"/>
      <c r="K96" s="70"/>
      <c r="L96" s="84"/>
      <c r="M96" s="77"/>
      <c r="N96" s="71"/>
      <c r="O96" s="84"/>
      <c r="P96" s="71"/>
      <c r="Q96" s="89"/>
      <c r="R96" s="71"/>
      <c r="S96" s="71"/>
      <c r="T96" s="71"/>
      <c r="U96" s="71"/>
      <c r="V96" s="71"/>
      <c r="W96" s="71"/>
      <c r="X96" s="97"/>
      <c r="Y96" s="71"/>
      <c r="Z96" s="71"/>
      <c r="AA96" s="104"/>
      <c r="AB96" s="71"/>
      <c r="AC96" s="71"/>
      <c r="AD96" s="78"/>
      <c r="AE96" s="67"/>
      <c r="AF96" s="67"/>
      <c r="AG96" s="71"/>
      <c r="AH96" s="67"/>
      <c r="AI96" s="71"/>
      <c r="AJ96" s="71"/>
      <c r="AK96" s="78"/>
      <c r="AL96" s="78"/>
      <c r="AM96" s="71"/>
      <c r="AN96" s="67"/>
      <c r="AO96" s="67"/>
      <c r="AP96" s="67"/>
      <c r="AQ96" s="67"/>
      <c r="AR96" s="71"/>
      <c r="AS96" s="67"/>
      <c r="AT96" s="105"/>
    </row>
    <row r="97" spans="1:46" s="60" customFormat="1" ht="120" customHeight="1">
      <c r="A97" s="71"/>
      <c r="B97" s="71"/>
      <c r="C97" s="78"/>
      <c r="D97" s="71"/>
      <c r="E97" s="71"/>
      <c r="F97" s="71"/>
      <c r="G97" s="71"/>
      <c r="H97" s="71"/>
      <c r="I97" s="71"/>
      <c r="J97" s="84"/>
      <c r="K97" s="77"/>
      <c r="L97" s="84"/>
      <c r="M97" s="77"/>
      <c r="N97" s="71"/>
      <c r="O97" s="71"/>
      <c r="P97" s="71"/>
      <c r="Q97" s="71"/>
      <c r="R97" s="71"/>
      <c r="S97" s="71"/>
      <c r="T97" s="71"/>
      <c r="U97" s="71"/>
      <c r="V97" s="71"/>
      <c r="W97" s="71"/>
      <c r="X97" s="97"/>
      <c r="Y97" s="71"/>
      <c r="Z97" s="71"/>
      <c r="AA97" s="104"/>
      <c r="AB97" s="71"/>
      <c r="AC97" s="71"/>
      <c r="AD97" s="78"/>
      <c r="AE97" s="78"/>
      <c r="AF97" s="78"/>
      <c r="AG97" s="71"/>
      <c r="AH97" s="78"/>
      <c r="AI97" s="71"/>
      <c r="AJ97" s="71"/>
      <c r="AK97" s="78"/>
      <c r="AL97" s="78"/>
      <c r="AM97" s="71"/>
      <c r="AN97" s="71"/>
      <c r="AO97" s="71"/>
      <c r="AP97" s="71"/>
      <c r="AQ97" s="71"/>
      <c r="AR97" s="71"/>
      <c r="AS97" s="71"/>
      <c r="AT97" s="71"/>
    </row>
    <row r="98" spans="1:46" s="60" customFormat="1" ht="120" customHeight="1">
      <c r="A98" s="71"/>
      <c r="B98" s="71"/>
      <c r="C98" s="78"/>
      <c r="D98" s="71"/>
      <c r="E98" s="71"/>
      <c r="F98" s="71"/>
      <c r="G98" s="71"/>
      <c r="H98" s="71"/>
      <c r="I98" s="71"/>
      <c r="J98" s="84"/>
      <c r="K98" s="77"/>
      <c r="L98" s="84"/>
      <c r="M98" s="77"/>
      <c r="N98" s="71"/>
      <c r="O98" s="71"/>
      <c r="P98" s="71"/>
      <c r="Q98" s="89"/>
      <c r="R98" s="71"/>
      <c r="S98" s="71"/>
      <c r="T98" s="71"/>
      <c r="U98" s="71"/>
      <c r="V98" s="71"/>
      <c r="W98" s="71"/>
      <c r="X98" s="97"/>
      <c r="Y98" s="71"/>
      <c r="Z98" s="71"/>
      <c r="AA98" s="104"/>
      <c r="AB98" s="71"/>
      <c r="AC98" s="71"/>
      <c r="AD98" s="78"/>
      <c r="AE98" s="78"/>
      <c r="AF98" s="78"/>
      <c r="AG98" s="71"/>
      <c r="AH98" s="78"/>
      <c r="AI98" s="71"/>
      <c r="AJ98" s="71"/>
      <c r="AK98" s="78"/>
      <c r="AL98" s="78"/>
      <c r="AM98" s="71"/>
      <c r="AN98" s="71"/>
      <c r="AO98" s="71"/>
      <c r="AP98" s="71"/>
      <c r="AQ98" s="71"/>
      <c r="AR98" s="71"/>
      <c r="AS98" s="71"/>
      <c r="AT98" s="78"/>
    </row>
    <row r="99" spans="1:46" s="60" customFormat="1" ht="120" customHeight="1">
      <c r="A99" s="71"/>
      <c r="B99" s="71"/>
      <c r="C99" s="78"/>
      <c r="D99" s="71"/>
      <c r="E99" s="71"/>
      <c r="F99" s="71"/>
      <c r="G99" s="71"/>
      <c r="H99" s="71"/>
      <c r="I99" s="71"/>
      <c r="J99" s="84"/>
      <c r="K99" s="77"/>
      <c r="L99" s="84"/>
      <c r="M99" s="77"/>
      <c r="N99" s="71"/>
      <c r="O99" s="71"/>
      <c r="P99" s="71"/>
      <c r="Q99" s="89"/>
      <c r="R99" s="71"/>
      <c r="S99" s="71"/>
      <c r="T99" s="71"/>
      <c r="U99" s="71"/>
      <c r="V99" s="71"/>
      <c r="W99" s="71"/>
      <c r="X99" s="97"/>
      <c r="Y99" s="71"/>
      <c r="Z99" s="71"/>
      <c r="AA99" s="104"/>
      <c r="AB99" s="71"/>
      <c r="AC99" s="71"/>
      <c r="AD99" s="78"/>
      <c r="AE99" s="78"/>
      <c r="AF99" s="78"/>
      <c r="AG99" s="71"/>
      <c r="AH99" s="78"/>
      <c r="AI99" s="71"/>
      <c r="AJ99" s="71"/>
      <c r="AK99" s="78"/>
      <c r="AL99" s="78"/>
      <c r="AM99" s="71"/>
      <c r="AN99" s="71"/>
      <c r="AO99" s="71"/>
      <c r="AP99" s="71"/>
      <c r="AQ99" s="71"/>
      <c r="AR99" s="71"/>
      <c r="AS99" s="71"/>
      <c r="AT99" s="71"/>
    </row>
    <row r="100" spans="1:46" s="60" customFormat="1" ht="120" customHeight="1">
      <c r="A100" s="71"/>
      <c r="B100" s="71"/>
      <c r="C100" s="78"/>
      <c r="D100" s="71"/>
      <c r="E100" s="71"/>
      <c r="F100" s="71"/>
      <c r="G100" s="71"/>
      <c r="H100" s="71"/>
      <c r="I100" s="71"/>
      <c r="J100" s="84"/>
      <c r="K100" s="77"/>
      <c r="L100" s="84"/>
      <c r="M100" s="77"/>
      <c r="N100" s="71"/>
      <c r="O100" s="71"/>
      <c r="P100" s="71"/>
      <c r="Q100" s="89"/>
      <c r="R100" s="71"/>
      <c r="S100" s="71"/>
      <c r="T100" s="71"/>
      <c r="U100" s="71"/>
      <c r="V100" s="71"/>
      <c r="W100" s="71"/>
      <c r="X100" s="97"/>
      <c r="Y100" s="71"/>
      <c r="Z100" s="71"/>
      <c r="AA100" s="104"/>
      <c r="AB100" s="71"/>
      <c r="AC100" s="71"/>
      <c r="AD100" s="78"/>
      <c r="AE100" s="67"/>
      <c r="AF100" s="67"/>
      <c r="AG100" s="71"/>
      <c r="AH100" s="78"/>
      <c r="AI100" s="71"/>
      <c r="AJ100" s="71"/>
      <c r="AK100" s="78"/>
      <c r="AL100" s="78"/>
      <c r="AM100" s="71"/>
      <c r="AN100" s="67"/>
      <c r="AO100" s="67"/>
      <c r="AP100" s="67"/>
      <c r="AQ100" s="67"/>
      <c r="AR100" s="71"/>
      <c r="AS100" s="67"/>
      <c r="AT100" s="105"/>
    </row>
    <row r="101" spans="1:46" s="60" customFormat="1" ht="120" customHeight="1">
      <c r="A101" s="71"/>
      <c r="B101" s="78"/>
      <c r="C101" s="78"/>
      <c r="D101" s="71"/>
      <c r="E101" s="71"/>
      <c r="F101" s="71"/>
      <c r="G101" s="71"/>
      <c r="H101" s="71"/>
      <c r="I101" s="71"/>
      <c r="J101" s="84"/>
      <c r="K101" s="77"/>
      <c r="L101" s="84"/>
      <c r="M101" s="77"/>
      <c r="N101" s="71"/>
      <c r="O101" s="71"/>
      <c r="P101" s="71"/>
      <c r="Q101" s="89"/>
      <c r="R101" s="71"/>
      <c r="S101" s="71"/>
      <c r="T101" s="71"/>
      <c r="U101" s="71"/>
      <c r="V101" s="71"/>
      <c r="W101" s="71"/>
      <c r="X101" s="97"/>
      <c r="Y101" s="71"/>
      <c r="Z101" s="71"/>
      <c r="AA101" s="104"/>
      <c r="AB101" s="71"/>
      <c r="AC101" s="71"/>
      <c r="AD101" s="78"/>
      <c r="AE101" s="67"/>
      <c r="AF101" s="67"/>
      <c r="AG101" s="71"/>
      <c r="AH101" s="67"/>
      <c r="AI101" s="71"/>
      <c r="AJ101" s="71"/>
      <c r="AK101" s="80"/>
      <c r="AL101" s="78"/>
      <c r="AM101" s="71"/>
      <c r="AN101" s="67"/>
      <c r="AO101" s="67"/>
      <c r="AP101" s="67"/>
      <c r="AQ101" s="67"/>
      <c r="AR101" s="71"/>
      <c r="AS101" s="67"/>
      <c r="AT101" s="105"/>
    </row>
    <row r="102" spans="1:46" s="60" customFormat="1" ht="120" customHeight="1">
      <c r="A102" s="71"/>
      <c r="B102" s="78"/>
      <c r="C102" s="78"/>
      <c r="D102" s="71"/>
      <c r="E102" s="71"/>
      <c r="F102" s="71"/>
      <c r="G102" s="71"/>
      <c r="H102" s="71"/>
      <c r="I102" s="71"/>
      <c r="J102" s="84"/>
      <c r="K102" s="77"/>
      <c r="L102" s="84"/>
      <c r="M102" s="77"/>
      <c r="N102" s="71"/>
      <c r="O102" s="71"/>
      <c r="P102" s="71"/>
      <c r="Q102" s="89"/>
      <c r="R102" s="71"/>
      <c r="S102" s="71"/>
      <c r="T102" s="71"/>
      <c r="U102" s="71"/>
      <c r="V102" s="71"/>
      <c r="W102" s="71"/>
      <c r="X102" s="97"/>
      <c r="Y102" s="71"/>
      <c r="Z102" s="71"/>
      <c r="AA102" s="104"/>
      <c r="AB102" s="71"/>
      <c r="AC102" s="71"/>
      <c r="AD102" s="78"/>
      <c r="AE102" s="67"/>
      <c r="AF102" s="67"/>
      <c r="AG102" s="71"/>
      <c r="AH102" s="67"/>
      <c r="AI102" s="71"/>
      <c r="AJ102" s="71"/>
      <c r="AK102" s="78"/>
      <c r="AL102" s="78"/>
      <c r="AM102" s="71"/>
      <c r="AN102" s="67"/>
      <c r="AO102" s="67"/>
      <c r="AP102" s="67"/>
      <c r="AQ102" s="67"/>
      <c r="AR102" s="71"/>
      <c r="AS102" s="67"/>
      <c r="AT102" s="105"/>
    </row>
    <row r="103" spans="1:46" s="63" customFormat="1" ht="120" customHeight="1">
      <c r="A103" s="66"/>
      <c r="B103" s="66"/>
      <c r="C103" s="66"/>
      <c r="J103" s="107"/>
      <c r="K103" s="108"/>
      <c r="L103" s="108"/>
      <c r="M103" s="108"/>
      <c r="N103" s="108"/>
      <c r="O103" s="109"/>
      <c r="P103" s="109"/>
      <c r="Q103" s="109"/>
      <c r="R103" s="110"/>
      <c r="X103" s="111"/>
      <c r="Z103" s="112"/>
      <c r="AA103" s="112"/>
    </row>
    <row r="104" spans="1:46" s="63" customFormat="1" ht="120" customHeight="1">
      <c r="A104" s="66"/>
      <c r="B104" s="66"/>
      <c r="C104" s="66"/>
      <c r="J104" s="107"/>
      <c r="K104" s="108"/>
      <c r="L104" s="108"/>
      <c r="M104" s="108"/>
      <c r="N104" s="108"/>
      <c r="O104" s="109"/>
      <c r="P104" s="109"/>
      <c r="Q104" s="109"/>
      <c r="R104" s="110"/>
      <c r="X104" s="111"/>
      <c r="Z104" s="112"/>
      <c r="AA104" s="112"/>
    </row>
    <row r="105" spans="1:46" s="63" customFormat="1" ht="120" customHeight="1">
      <c r="A105" s="66"/>
      <c r="B105" s="66"/>
      <c r="C105" s="66"/>
      <c r="J105" s="107"/>
      <c r="K105" s="108"/>
      <c r="L105" s="108"/>
      <c r="M105" s="108"/>
      <c r="N105" s="108"/>
      <c r="O105" s="109"/>
      <c r="P105" s="109"/>
      <c r="Q105" s="109"/>
      <c r="R105" s="110"/>
      <c r="X105" s="111"/>
      <c r="Z105" s="112"/>
      <c r="AA105" s="112"/>
    </row>
    <row r="106" spans="1:46" s="63" customFormat="1" ht="120" customHeight="1">
      <c r="A106" s="66"/>
      <c r="B106" s="66"/>
      <c r="C106" s="66"/>
      <c r="J106" s="107"/>
      <c r="K106" s="108"/>
      <c r="L106" s="108"/>
      <c r="M106" s="108"/>
      <c r="N106" s="108"/>
      <c r="O106" s="109"/>
      <c r="P106" s="109"/>
      <c r="Q106" s="109"/>
      <c r="R106" s="110"/>
      <c r="X106" s="111"/>
      <c r="Z106" s="112"/>
      <c r="AA106" s="112"/>
    </row>
    <row r="107" spans="1:46" s="63" customFormat="1" ht="120" customHeight="1">
      <c r="A107" s="66"/>
      <c r="B107" s="66"/>
      <c r="C107" s="66"/>
      <c r="J107" s="107"/>
      <c r="K107" s="108"/>
      <c r="L107" s="108"/>
      <c r="M107" s="108"/>
      <c r="N107" s="108"/>
      <c r="O107" s="109"/>
      <c r="P107" s="109"/>
      <c r="Q107" s="109"/>
      <c r="R107" s="110"/>
      <c r="X107" s="111"/>
      <c r="Z107" s="112"/>
      <c r="AA107" s="112"/>
    </row>
    <row r="108" spans="1:46" s="63" customFormat="1" ht="120" customHeight="1">
      <c r="A108" s="66"/>
      <c r="B108" s="66"/>
      <c r="C108" s="66"/>
      <c r="J108" s="107"/>
      <c r="K108" s="108"/>
      <c r="L108" s="108"/>
      <c r="M108" s="108"/>
      <c r="N108" s="108"/>
      <c r="O108" s="109"/>
      <c r="P108" s="109"/>
      <c r="Q108" s="109"/>
      <c r="R108" s="110"/>
      <c r="X108" s="111"/>
      <c r="Z108" s="112"/>
      <c r="AA108" s="112"/>
    </row>
    <row r="109" spans="1:46" s="63" customFormat="1" ht="120" customHeight="1">
      <c r="A109" s="66"/>
      <c r="B109" s="66"/>
      <c r="C109" s="66"/>
      <c r="J109" s="107"/>
      <c r="K109" s="108"/>
      <c r="L109" s="108"/>
      <c r="M109" s="108"/>
      <c r="N109" s="108"/>
      <c r="O109" s="109"/>
      <c r="P109" s="109"/>
      <c r="Q109" s="109"/>
      <c r="R109" s="110"/>
      <c r="X109" s="111"/>
      <c r="Z109" s="112"/>
      <c r="AA109" s="112"/>
    </row>
    <row r="110" spans="1:46" s="63" customFormat="1" ht="120" customHeight="1">
      <c r="A110" s="66"/>
      <c r="B110" s="66"/>
      <c r="C110" s="66"/>
      <c r="J110" s="107"/>
      <c r="K110" s="108"/>
      <c r="L110" s="108"/>
      <c r="M110" s="108"/>
      <c r="N110" s="108"/>
      <c r="O110" s="109"/>
      <c r="P110" s="109"/>
      <c r="Q110" s="109"/>
      <c r="R110" s="110"/>
      <c r="X110" s="111"/>
      <c r="Z110" s="112"/>
      <c r="AA110" s="112"/>
    </row>
    <row r="111" spans="1:46" s="63" customFormat="1" ht="120" customHeight="1">
      <c r="A111" s="66"/>
      <c r="B111" s="66"/>
      <c r="C111" s="66"/>
      <c r="J111" s="107"/>
      <c r="K111" s="108"/>
      <c r="L111" s="108"/>
      <c r="M111" s="108"/>
      <c r="N111" s="108"/>
      <c r="O111" s="109"/>
      <c r="P111" s="109"/>
      <c r="Q111" s="109"/>
      <c r="R111" s="110"/>
      <c r="X111" s="111"/>
      <c r="Z111" s="112"/>
      <c r="AA111" s="112"/>
    </row>
    <row r="112" spans="1:46" s="63" customFormat="1" ht="120" customHeight="1">
      <c r="A112" s="66"/>
      <c r="B112" s="66"/>
      <c r="C112" s="66"/>
      <c r="J112" s="107"/>
      <c r="K112" s="108"/>
      <c r="L112" s="108"/>
      <c r="M112" s="108"/>
      <c r="N112" s="108"/>
      <c r="O112" s="109"/>
      <c r="P112" s="109"/>
      <c r="Q112" s="109"/>
      <c r="R112" s="110"/>
      <c r="X112" s="111"/>
      <c r="Z112" s="112"/>
      <c r="AA112" s="112"/>
    </row>
    <row r="113" spans="1:27" s="63" customFormat="1" ht="120" customHeight="1">
      <c r="A113" s="66"/>
      <c r="B113" s="66"/>
      <c r="C113" s="66"/>
      <c r="J113" s="107"/>
      <c r="K113" s="108"/>
      <c r="L113" s="108"/>
      <c r="M113" s="108"/>
      <c r="N113" s="108"/>
      <c r="O113" s="109"/>
      <c r="P113" s="109"/>
      <c r="Q113" s="109"/>
      <c r="R113" s="110"/>
      <c r="X113" s="111"/>
      <c r="Z113" s="112"/>
      <c r="AA113" s="112"/>
    </row>
    <row r="114" spans="1:27" s="63" customFormat="1" ht="120" customHeight="1">
      <c r="A114" s="66"/>
      <c r="B114" s="66"/>
      <c r="C114" s="66"/>
      <c r="J114" s="107"/>
      <c r="K114" s="108"/>
      <c r="L114" s="108"/>
      <c r="M114" s="108"/>
      <c r="N114" s="108"/>
      <c r="O114" s="109"/>
      <c r="P114" s="109"/>
      <c r="Q114" s="109"/>
      <c r="R114" s="110"/>
      <c r="X114" s="111"/>
      <c r="Z114" s="112"/>
      <c r="AA114" s="112"/>
    </row>
    <row r="115" spans="1:27" s="63" customFormat="1" ht="120" customHeight="1">
      <c r="A115" s="66"/>
      <c r="B115" s="66"/>
      <c r="C115" s="66"/>
      <c r="J115" s="107"/>
      <c r="K115" s="108"/>
      <c r="L115" s="108"/>
      <c r="M115" s="108"/>
      <c r="N115" s="108"/>
      <c r="O115" s="109"/>
      <c r="P115" s="109"/>
      <c r="Q115" s="109"/>
      <c r="R115" s="110"/>
      <c r="X115" s="111"/>
      <c r="Z115" s="112"/>
      <c r="AA115" s="112"/>
    </row>
    <row r="116" spans="1:27" s="63" customFormat="1" ht="120" customHeight="1">
      <c r="A116" s="66"/>
      <c r="B116" s="66"/>
      <c r="C116" s="66"/>
      <c r="J116" s="107"/>
      <c r="K116" s="108"/>
      <c r="L116" s="108"/>
      <c r="M116" s="108"/>
      <c r="N116" s="108"/>
      <c r="O116" s="109"/>
      <c r="P116" s="109"/>
      <c r="Q116" s="109"/>
      <c r="R116" s="110"/>
      <c r="X116" s="111"/>
      <c r="Z116" s="112"/>
      <c r="AA116" s="112"/>
    </row>
    <row r="117" spans="1:27" s="63" customFormat="1" ht="120" customHeight="1">
      <c r="A117" s="66"/>
      <c r="B117" s="66"/>
      <c r="C117" s="66"/>
      <c r="J117" s="107"/>
      <c r="K117" s="108"/>
      <c r="L117" s="108"/>
      <c r="M117" s="108"/>
      <c r="N117" s="108"/>
      <c r="O117" s="109"/>
      <c r="P117" s="109"/>
      <c r="Q117" s="109"/>
      <c r="R117" s="110"/>
      <c r="X117" s="111"/>
      <c r="Z117" s="112"/>
      <c r="AA117" s="112"/>
    </row>
    <row r="118" spans="1:27" s="63" customFormat="1" ht="120" customHeight="1">
      <c r="A118" s="66"/>
      <c r="B118" s="66"/>
      <c r="C118" s="66"/>
      <c r="J118" s="107"/>
      <c r="K118" s="108"/>
      <c r="L118" s="108"/>
      <c r="M118" s="108"/>
      <c r="N118" s="108"/>
      <c r="O118" s="109"/>
      <c r="P118" s="109"/>
      <c r="Q118" s="109"/>
      <c r="R118" s="110"/>
      <c r="X118" s="111"/>
      <c r="Z118" s="112"/>
      <c r="AA118" s="112"/>
    </row>
    <row r="119" spans="1:27" s="63" customFormat="1" ht="120" customHeight="1">
      <c r="A119" s="66"/>
      <c r="B119" s="66"/>
      <c r="C119" s="66"/>
      <c r="J119" s="107"/>
      <c r="K119" s="108"/>
      <c r="L119" s="108"/>
      <c r="M119" s="108"/>
      <c r="N119" s="108"/>
      <c r="O119" s="109"/>
      <c r="P119" s="109"/>
      <c r="Q119" s="109"/>
      <c r="R119" s="110"/>
      <c r="X119" s="111"/>
      <c r="Z119" s="112"/>
      <c r="AA119" s="112"/>
    </row>
    <row r="120" spans="1:27" s="63" customFormat="1" ht="120" customHeight="1">
      <c r="A120" s="66"/>
      <c r="B120" s="66"/>
      <c r="C120" s="66"/>
      <c r="J120" s="107"/>
      <c r="K120" s="108"/>
      <c r="L120" s="108"/>
      <c r="M120" s="108"/>
      <c r="N120" s="108"/>
      <c r="O120" s="109"/>
      <c r="P120" s="109"/>
      <c r="Q120" s="109"/>
      <c r="R120" s="110"/>
      <c r="X120" s="111"/>
      <c r="Z120" s="112"/>
      <c r="AA120" s="112"/>
    </row>
    <row r="121" spans="1:27" s="63" customFormat="1" ht="120" customHeight="1">
      <c r="A121" s="66"/>
      <c r="B121" s="66"/>
      <c r="C121" s="66"/>
      <c r="J121" s="107"/>
      <c r="K121" s="108"/>
      <c r="L121" s="108"/>
      <c r="M121" s="108"/>
      <c r="N121" s="108"/>
      <c r="O121" s="109"/>
      <c r="P121" s="109"/>
      <c r="Q121" s="109"/>
      <c r="R121" s="110"/>
      <c r="X121" s="111"/>
      <c r="Z121" s="112"/>
      <c r="AA121" s="112"/>
    </row>
    <row r="122" spans="1:27" s="63" customFormat="1" ht="120" customHeight="1">
      <c r="A122" s="66"/>
      <c r="B122" s="66"/>
      <c r="C122" s="66"/>
      <c r="J122" s="107"/>
      <c r="K122" s="108"/>
      <c r="L122" s="108"/>
      <c r="M122" s="108"/>
      <c r="N122" s="108"/>
      <c r="O122" s="109"/>
      <c r="P122" s="109"/>
      <c r="Q122" s="109"/>
      <c r="R122" s="110"/>
      <c r="X122" s="111"/>
      <c r="Z122" s="112"/>
      <c r="AA122" s="112"/>
    </row>
    <row r="123" spans="1:27" s="63" customFormat="1" ht="120" customHeight="1">
      <c r="A123" s="66"/>
      <c r="B123" s="66"/>
      <c r="C123" s="66"/>
      <c r="J123" s="107"/>
      <c r="K123" s="108"/>
      <c r="L123" s="108"/>
      <c r="M123" s="108"/>
      <c r="N123" s="108"/>
      <c r="O123" s="109"/>
      <c r="P123" s="109"/>
      <c r="Q123" s="109"/>
      <c r="R123" s="110"/>
      <c r="X123" s="111"/>
      <c r="Z123" s="112"/>
      <c r="AA123" s="112"/>
    </row>
    <row r="124" spans="1:27" s="63" customFormat="1" ht="120" customHeight="1">
      <c r="A124" s="66"/>
      <c r="B124" s="66"/>
      <c r="C124" s="66"/>
      <c r="J124" s="107"/>
      <c r="K124" s="108"/>
      <c r="L124" s="108"/>
      <c r="M124" s="108"/>
      <c r="N124" s="108"/>
      <c r="O124" s="109"/>
      <c r="P124" s="109"/>
      <c r="Q124" s="109"/>
      <c r="R124" s="110"/>
      <c r="X124" s="111"/>
      <c r="Z124" s="112"/>
      <c r="AA124" s="112"/>
    </row>
    <row r="125" spans="1:27" s="63" customFormat="1" ht="120" customHeight="1">
      <c r="A125" s="66"/>
      <c r="B125" s="66"/>
      <c r="C125" s="66"/>
      <c r="J125" s="107"/>
      <c r="K125" s="108"/>
      <c r="L125" s="108"/>
      <c r="M125" s="108"/>
      <c r="N125" s="108"/>
      <c r="O125" s="109"/>
      <c r="P125" s="109"/>
      <c r="Q125" s="109"/>
      <c r="R125" s="110"/>
      <c r="X125" s="111"/>
      <c r="Z125" s="112"/>
      <c r="AA125" s="112"/>
    </row>
    <row r="126" spans="1:27" s="63" customFormat="1" ht="120" customHeight="1">
      <c r="A126" s="66"/>
      <c r="B126" s="66"/>
      <c r="C126" s="66"/>
      <c r="J126" s="107"/>
      <c r="K126" s="108"/>
      <c r="L126" s="108"/>
      <c r="M126" s="108"/>
      <c r="N126" s="108"/>
      <c r="O126" s="109"/>
      <c r="P126" s="109"/>
      <c r="Q126" s="109"/>
      <c r="R126" s="110"/>
      <c r="X126" s="111"/>
      <c r="Z126" s="112"/>
      <c r="AA126" s="112"/>
    </row>
    <row r="127" spans="1:27" s="63" customFormat="1" ht="120" customHeight="1">
      <c r="A127" s="66"/>
      <c r="B127" s="66"/>
      <c r="C127" s="66"/>
      <c r="J127" s="107"/>
      <c r="K127" s="108"/>
      <c r="L127" s="108"/>
      <c r="M127" s="108"/>
      <c r="N127" s="108"/>
      <c r="O127" s="109"/>
      <c r="P127" s="109"/>
      <c r="Q127" s="109"/>
      <c r="R127" s="110"/>
      <c r="X127" s="111"/>
      <c r="Z127" s="112"/>
      <c r="AA127" s="112"/>
    </row>
    <row r="128" spans="1:27" s="63" customFormat="1" ht="120" customHeight="1">
      <c r="A128" s="66"/>
      <c r="B128" s="66"/>
      <c r="C128" s="66"/>
      <c r="J128" s="107"/>
      <c r="K128" s="108"/>
      <c r="L128" s="108"/>
      <c r="M128" s="108"/>
      <c r="N128" s="108"/>
      <c r="O128" s="109"/>
      <c r="P128" s="109"/>
      <c r="Q128" s="109"/>
      <c r="R128" s="110"/>
      <c r="X128" s="111"/>
      <c r="Z128" s="112"/>
      <c r="AA128" s="112"/>
    </row>
    <row r="129" spans="1:27" s="63" customFormat="1" ht="120" customHeight="1">
      <c r="A129" s="66"/>
      <c r="B129" s="66"/>
      <c r="C129" s="66"/>
      <c r="J129" s="107"/>
      <c r="K129" s="108"/>
      <c r="L129" s="108"/>
      <c r="M129" s="108"/>
      <c r="N129" s="108"/>
      <c r="O129" s="109"/>
      <c r="P129" s="109"/>
      <c r="Q129" s="109"/>
      <c r="R129" s="110"/>
      <c r="X129" s="111"/>
      <c r="Z129" s="112"/>
      <c r="AA129" s="112"/>
    </row>
    <row r="130" spans="1:27" s="63" customFormat="1" ht="120" customHeight="1">
      <c r="A130" s="66"/>
      <c r="B130" s="66"/>
      <c r="C130" s="66"/>
      <c r="J130" s="107"/>
      <c r="K130" s="108"/>
      <c r="L130" s="108"/>
      <c r="M130" s="108"/>
      <c r="N130" s="108"/>
      <c r="O130" s="109"/>
      <c r="P130" s="109"/>
      <c r="Q130" s="109"/>
      <c r="R130" s="110"/>
      <c r="X130" s="111"/>
      <c r="Z130" s="112"/>
      <c r="AA130" s="112"/>
    </row>
    <row r="131" spans="1:27" s="63" customFormat="1" ht="120" customHeight="1">
      <c r="A131" s="66"/>
      <c r="B131" s="66"/>
      <c r="C131" s="66"/>
      <c r="J131" s="107"/>
      <c r="K131" s="108"/>
      <c r="L131" s="108"/>
      <c r="M131" s="108"/>
      <c r="N131" s="108"/>
      <c r="O131" s="109"/>
      <c r="P131" s="109"/>
      <c r="Q131" s="109"/>
      <c r="R131" s="110"/>
      <c r="X131" s="111"/>
      <c r="Z131" s="112"/>
      <c r="AA131" s="112"/>
    </row>
    <row r="132" spans="1:27" s="63" customFormat="1" ht="120" customHeight="1">
      <c r="A132" s="66"/>
      <c r="B132" s="66"/>
      <c r="C132" s="66"/>
      <c r="J132" s="107"/>
      <c r="K132" s="108"/>
      <c r="L132" s="108"/>
      <c r="M132" s="108"/>
      <c r="N132" s="108"/>
      <c r="O132" s="109"/>
      <c r="P132" s="109"/>
      <c r="Q132" s="109"/>
      <c r="R132" s="110"/>
      <c r="X132" s="111"/>
      <c r="Z132" s="112"/>
      <c r="AA132" s="112"/>
    </row>
    <row r="133" spans="1:27" s="63" customFormat="1" ht="120" customHeight="1">
      <c r="A133" s="66"/>
      <c r="B133" s="66"/>
      <c r="C133" s="66"/>
      <c r="J133" s="107"/>
      <c r="K133" s="108"/>
      <c r="L133" s="108"/>
      <c r="M133" s="108"/>
      <c r="N133" s="108"/>
      <c r="O133" s="109"/>
      <c r="P133" s="109"/>
      <c r="Q133" s="109"/>
      <c r="R133" s="110"/>
      <c r="X133" s="111"/>
      <c r="Z133" s="112"/>
      <c r="AA133" s="112"/>
    </row>
    <row r="134" spans="1:27" s="63" customFormat="1" ht="120" customHeight="1">
      <c r="A134" s="66"/>
      <c r="B134" s="66"/>
      <c r="C134" s="66"/>
      <c r="J134" s="107"/>
      <c r="K134" s="108"/>
      <c r="L134" s="108"/>
      <c r="M134" s="108"/>
      <c r="N134" s="108"/>
      <c r="O134" s="109"/>
      <c r="P134" s="109"/>
      <c r="Q134" s="109"/>
      <c r="R134" s="110"/>
      <c r="X134" s="111"/>
      <c r="Z134" s="112"/>
      <c r="AA134" s="112"/>
    </row>
    <row r="135" spans="1:27" s="63" customFormat="1" ht="120" customHeight="1">
      <c r="A135" s="66"/>
      <c r="B135" s="66"/>
      <c r="C135" s="66"/>
      <c r="J135" s="107"/>
      <c r="K135" s="108"/>
      <c r="L135" s="108"/>
      <c r="M135" s="108"/>
      <c r="N135" s="108"/>
      <c r="O135" s="109"/>
      <c r="P135" s="109"/>
      <c r="Q135" s="109"/>
      <c r="R135" s="110"/>
      <c r="X135" s="111"/>
      <c r="Z135" s="112"/>
      <c r="AA135" s="112"/>
    </row>
    <row r="136" spans="1:27" s="63" customFormat="1" ht="120" customHeight="1">
      <c r="A136" s="66"/>
      <c r="B136" s="66"/>
      <c r="C136" s="66"/>
      <c r="J136" s="107"/>
      <c r="K136" s="108"/>
      <c r="L136" s="108"/>
      <c r="M136" s="108"/>
      <c r="N136" s="108"/>
      <c r="O136" s="109"/>
      <c r="P136" s="109"/>
      <c r="Q136" s="109"/>
      <c r="R136" s="110"/>
      <c r="X136" s="111"/>
      <c r="Z136" s="112"/>
      <c r="AA136" s="112"/>
    </row>
    <row r="137" spans="1:27" s="63" customFormat="1" ht="120" customHeight="1">
      <c r="A137" s="66"/>
      <c r="B137" s="66"/>
      <c r="C137" s="66"/>
      <c r="J137" s="107"/>
      <c r="K137" s="108"/>
      <c r="L137" s="108"/>
      <c r="M137" s="108"/>
      <c r="N137" s="108"/>
      <c r="O137" s="109"/>
      <c r="P137" s="109"/>
      <c r="Q137" s="109"/>
      <c r="R137" s="110"/>
      <c r="X137" s="111"/>
      <c r="Z137" s="112"/>
      <c r="AA137" s="112"/>
    </row>
    <row r="138" spans="1:27" s="63" customFormat="1" ht="120" customHeight="1">
      <c r="A138" s="66"/>
      <c r="B138" s="66"/>
      <c r="C138" s="66"/>
      <c r="J138" s="107"/>
      <c r="K138" s="108"/>
      <c r="L138" s="108"/>
      <c r="M138" s="108"/>
      <c r="N138" s="108"/>
      <c r="O138" s="109"/>
      <c r="P138" s="109"/>
      <c r="Q138" s="109"/>
      <c r="R138" s="110"/>
      <c r="X138" s="111"/>
      <c r="Z138" s="112"/>
      <c r="AA138" s="112"/>
    </row>
    <row r="139" spans="1:27" s="63" customFormat="1" ht="120" customHeight="1">
      <c r="A139" s="66"/>
      <c r="B139" s="66"/>
      <c r="C139" s="66"/>
      <c r="J139" s="107"/>
      <c r="K139" s="108"/>
      <c r="L139" s="108"/>
      <c r="M139" s="108"/>
      <c r="N139" s="108"/>
      <c r="O139" s="109"/>
      <c r="P139" s="109"/>
      <c r="Q139" s="109"/>
      <c r="R139" s="110"/>
      <c r="X139" s="111"/>
      <c r="Z139" s="112"/>
      <c r="AA139" s="112"/>
    </row>
    <row r="140" spans="1:27" s="63" customFormat="1" ht="120" customHeight="1">
      <c r="A140" s="66"/>
      <c r="B140" s="66"/>
      <c r="C140" s="66"/>
      <c r="J140" s="107"/>
      <c r="K140" s="108"/>
      <c r="L140" s="108"/>
      <c r="M140" s="108"/>
      <c r="N140" s="108"/>
      <c r="O140" s="109"/>
      <c r="P140" s="109"/>
      <c r="Q140" s="109"/>
      <c r="R140" s="110"/>
      <c r="X140" s="111"/>
      <c r="Z140" s="112"/>
      <c r="AA140" s="112"/>
    </row>
    <row r="141" spans="1:27" s="63" customFormat="1" ht="120" customHeight="1">
      <c r="A141" s="66"/>
      <c r="B141" s="66"/>
      <c r="C141" s="66"/>
      <c r="J141" s="107"/>
      <c r="K141" s="108"/>
      <c r="L141" s="108"/>
      <c r="M141" s="108"/>
      <c r="N141" s="108"/>
      <c r="O141" s="109"/>
      <c r="P141" s="109"/>
      <c r="Q141" s="109"/>
      <c r="R141" s="110"/>
      <c r="X141" s="111"/>
      <c r="Z141" s="112"/>
      <c r="AA141" s="112"/>
    </row>
    <row r="142" spans="1:27" s="63" customFormat="1" ht="120" customHeight="1">
      <c r="A142" s="66"/>
      <c r="B142" s="66"/>
      <c r="C142" s="66"/>
      <c r="J142" s="107"/>
      <c r="K142" s="108"/>
      <c r="L142" s="108"/>
      <c r="M142" s="108"/>
      <c r="N142" s="108"/>
      <c r="O142" s="109"/>
      <c r="P142" s="109"/>
      <c r="Q142" s="109"/>
      <c r="R142" s="110"/>
      <c r="X142" s="111"/>
      <c r="Z142" s="112"/>
      <c r="AA142" s="112"/>
    </row>
    <row r="143" spans="1:27" s="63" customFormat="1" ht="120" customHeight="1">
      <c r="A143" s="66"/>
      <c r="B143" s="66"/>
      <c r="C143" s="66"/>
      <c r="J143" s="107"/>
      <c r="K143" s="108"/>
      <c r="L143" s="108"/>
      <c r="M143" s="108"/>
      <c r="N143" s="108"/>
      <c r="O143" s="109"/>
      <c r="P143" s="109"/>
      <c r="Q143" s="109"/>
      <c r="R143" s="110"/>
      <c r="X143" s="111"/>
      <c r="Z143" s="112"/>
      <c r="AA143" s="112"/>
    </row>
    <row r="144" spans="1:27" s="63" customFormat="1" ht="120" customHeight="1">
      <c r="A144" s="66"/>
      <c r="B144" s="66"/>
      <c r="C144" s="66"/>
      <c r="J144" s="107"/>
      <c r="K144" s="108"/>
      <c r="L144" s="108"/>
      <c r="M144" s="108"/>
      <c r="N144" s="108"/>
      <c r="O144" s="109"/>
      <c r="P144" s="109"/>
      <c r="Q144" s="109"/>
      <c r="R144" s="110"/>
      <c r="X144" s="111"/>
      <c r="Z144" s="112"/>
      <c r="AA144" s="112"/>
    </row>
    <row r="145" spans="1:46" s="63" customFormat="1" ht="120" customHeight="1">
      <c r="A145" s="66"/>
      <c r="B145" s="66"/>
      <c r="C145" s="66"/>
      <c r="J145" s="107"/>
      <c r="K145" s="108"/>
      <c r="L145" s="108"/>
      <c r="M145" s="108"/>
      <c r="N145" s="108"/>
      <c r="O145" s="109"/>
      <c r="P145" s="109"/>
      <c r="Q145" s="109"/>
      <c r="R145" s="110"/>
      <c r="X145" s="111"/>
      <c r="Z145" s="112"/>
      <c r="AA145" s="112"/>
    </row>
    <row r="146" spans="1:46" s="63" customFormat="1" ht="120" customHeight="1">
      <c r="A146" s="66"/>
      <c r="B146" s="66"/>
      <c r="C146" s="66"/>
      <c r="J146" s="107"/>
      <c r="K146" s="108"/>
      <c r="L146" s="108"/>
      <c r="M146" s="108"/>
      <c r="N146" s="108"/>
      <c r="O146" s="109"/>
      <c r="P146" s="109"/>
      <c r="Q146" s="109"/>
      <c r="R146" s="110"/>
      <c r="X146" s="111"/>
      <c r="Z146" s="112"/>
      <c r="AA146" s="112"/>
    </row>
    <row r="147" spans="1:46" s="63" customFormat="1" ht="120" customHeight="1">
      <c r="A147" s="66"/>
      <c r="B147" s="66"/>
      <c r="C147" s="66"/>
      <c r="J147" s="107"/>
      <c r="K147" s="108"/>
      <c r="L147" s="108"/>
      <c r="M147" s="108"/>
      <c r="N147" s="108"/>
      <c r="O147" s="109"/>
      <c r="P147" s="109"/>
      <c r="Q147" s="109"/>
      <c r="R147" s="110"/>
      <c r="X147" s="111"/>
      <c r="Z147" s="112"/>
      <c r="AA147" s="112"/>
    </row>
    <row r="148" spans="1:46" s="63" customFormat="1" ht="120" customHeight="1">
      <c r="A148" s="66"/>
      <c r="B148" s="66"/>
      <c r="C148" s="66"/>
      <c r="J148" s="107"/>
      <c r="K148" s="108"/>
      <c r="L148" s="108"/>
      <c r="M148" s="108"/>
      <c r="N148" s="108"/>
      <c r="O148" s="109"/>
      <c r="P148" s="109"/>
      <c r="Q148" s="109"/>
      <c r="R148" s="110"/>
      <c r="X148" s="111"/>
      <c r="Z148" s="112"/>
      <c r="AA148" s="112"/>
    </row>
    <row r="149" spans="1:46" s="63" customFormat="1" ht="120" customHeight="1">
      <c r="A149" s="66"/>
      <c r="B149" s="66"/>
      <c r="C149" s="66"/>
      <c r="J149" s="107"/>
      <c r="K149" s="108"/>
      <c r="L149" s="108"/>
      <c r="M149" s="108"/>
      <c r="N149" s="108"/>
      <c r="O149" s="109"/>
      <c r="P149" s="109"/>
      <c r="Q149" s="109"/>
      <c r="R149" s="110"/>
      <c r="X149" s="111"/>
      <c r="Z149" s="112"/>
      <c r="AA149" s="112"/>
    </row>
    <row r="150" spans="1:46" s="63" customFormat="1" ht="120" customHeight="1">
      <c r="A150" s="66"/>
      <c r="B150" s="66"/>
      <c r="C150" s="66"/>
      <c r="J150" s="107"/>
      <c r="K150" s="108"/>
      <c r="L150" s="108"/>
      <c r="M150" s="108"/>
      <c r="N150" s="108"/>
      <c r="O150" s="109"/>
      <c r="P150" s="109"/>
      <c r="Q150" s="109"/>
      <c r="R150" s="110"/>
      <c r="X150" s="111"/>
      <c r="Z150" s="112"/>
      <c r="AA150" s="112"/>
    </row>
    <row r="151" spans="1:46" s="63" customFormat="1" ht="120" customHeight="1">
      <c r="A151" s="66"/>
      <c r="B151" s="66"/>
      <c r="C151" s="66"/>
      <c r="J151" s="107"/>
      <c r="K151" s="108"/>
      <c r="L151" s="108"/>
      <c r="M151" s="108"/>
      <c r="N151" s="108"/>
      <c r="O151" s="109"/>
      <c r="P151" s="109"/>
      <c r="Q151" s="109"/>
      <c r="R151" s="110"/>
      <c r="X151" s="111"/>
      <c r="Z151" s="112"/>
      <c r="AA151" s="112"/>
    </row>
    <row r="152" spans="1:46" s="63" customFormat="1" ht="120" customHeight="1">
      <c r="A152" s="66"/>
      <c r="B152" s="66"/>
      <c r="C152" s="66"/>
      <c r="J152" s="107"/>
      <c r="K152" s="108"/>
      <c r="L152" s="108"/>
      <c r="M152" s="108"/>
      <c r="N152" s="108"/>
      <c r="O152" s="109"/>
      <c r="P152" s="109"/>
      <c r="Q152" s="109"/>
      <c r="R152" s="110"/>
      <c r="X152" s="111"/>
      <c r="Z152" s="112"/>
      <c r="AA152" s="112"/>
    </row>
    <row r="153" spans="1:46" s="63" customFormat="1" ht="120" customHeight="1">
      <c r="A153" s="66"/>
      <c r="B153" s="66"/>
      <c r="C153" s="66"/>
      <c r="J153" s="107"/>
      <c r="K153" s="108"/>
      <c r="L153" s="108"/>
      <c r="M153" s="108"/>
      <c r="N153" s="108"/>
      <c r="O153" s="109"/>
      <c r="P153" s="109"/>
      <c r="Q153" s="109"/>
      <c r="R153" s="110"/>
      <c r="X153" s="111"/>
      <c r="Z153" s="112"/>
      <c r="AA153" s="112"/>
    </row>
    <row r="154" spans="1:46" s="63" customFormat="1" ht="120" customHeight="1">
      <c r="A154" s="66"/>
      <c r="B154" s="66"/>
      <c r="C154" s="66"/>
      <c r="J154" s="107"/>
      <c r="K154" s="108"/>
      <c r="L154" s="108"/>
      <c r="M154" s="108"/>
      <c r="N154" s="108"/>
      <c r="O154" s="109"/>
      <c r="P154" s="109"/>
      <c r="Q154" s="109"/>
      <c r="R154" s="110"/>
      <c r="X154" s="111"/>
      <c r="Z154" s="112"/>
      <c r="AA154" s="112"/>
    </row>
    <row r="155" spans="1:46" s="63" customFormat="1" ht="120" customHeight="1">
      <c r="A155" s="66"/>
      <c r="B155" s="66"/>
      <c r="C155" s="66"/>
      <c r="J155" s="107"/>
      <c r="K155" s="108"/>
      <c r="L155" s="108"/>
      <c r="M155" s="108"/>
      <c r="N155" s="108"/>
      <c r="O155" s="109"/>
      <c r="P155" s="109"/>
      <c r="Q155" s="109"/>
      <c r="R155" s="110"/>
      <c r="X155" s="111"/>
      <c r="Z155" s="112"/>
      <c r="AA155" s="112"/>
    </row>
    <row r="156" spans="1:46" s="63" customFormat="1" ht="120" customHeight="1">
      <c r="A156" s="66"/>
      <c r="B156" s="66"/>
      <c r="C156" s="66"/>
      <c r="J156" s="107"/>
      <c r="K156" s="108"/>
      <c r="L156" s="108"/>
      <c r="M156" s="108"/>
      <c r="N156" s="108"/>
      <c r="O156" s="109"/>
      <c r="P156" s="109"/>
      <c r="Q156" s="109"/>
      <c r="R156" s="110"/>
      <c r="X156" s="111"/>
      <c r="Z156" s="112"/>
      <c r="AA156" s="112"/>
    </row>
    <row r="157" spans="1:46" s="63" customFormat="1" ht="120" customHeight="1">
      <c r="A157" s="66"/>
      <c r="B157" s="66"/>
      <c r="C157" s="66"/>
      <c r="J157" s="107"/>
      <c r="K157" s="108"/>
      <c r="L157" s="108"/>
      <c r="M157" s="108"/>
      <c r="N157" s="108"/>
      <c r="O157" s="109"/>
      <c r="P157" s="109"/>
      <c r="Q157" s="109"/>
      <c r="R157" s="110"/>
      <c r="X157" s="111"/>
      <c r="Z157" s="112"/>
      <c r="AA157" s="112"/>
    </row>
    <row r="158" spans="1:46" s="63" customFormat="1" ht="120" customHeight="1">
      <c r="A158" s="66"/>
      <c r="B158" s="66"/>
      <c r="C158" s="66"/>
      <c r="J158" s="107"/>
      <c r="K158" s="108"/>
      <c r="L158" s="108"/>
      <c r="M158" s="108"/>
      <c r="N158" s="108"/>
      <c r="O158" s="109"/>
      <c r="P158" s="109"/>
      <c r="Q158" s="109"/>
      <c r="R158" s="110"/>
      <c r="X158" s="111"/>
      <c r="Z158" s="112"/>
      <c r="AA158" s="112"/>
    </row>
    <row r="159" spans="1:46" s="63" customFormat="1" ht="120" customHeight="1">
      <c r="A159" s="66"/>
      <c r="B159" s="67"/>
      <c r="C159" s="67"/>
      <c r="D159" s="67"/>
      <c r="E159" s="67"/>
      <c r="F159" s="67"/>
      <c r="G159" s="67"/>
      <c r="H159" s="67"/>
      <c r="I159" s="67"/>
      <c r="J159" s="79"/>
      <c r="K159" s="80"/>
      <c r="L159" s="80"/>
      <c r="M159" s="80"/>
      <c r="N159" s="80"/>
      <c r="O159" s="81"/>
      <c r="P159" s="81"/>
      <c r="Q159" s="81"/>
      <c r="R159" s="93"/>
      <c r="S159" s="67"/>
      <c r="T159" s="67"/>
      <c r="U159" s="67"/>
      <c r="V159" s="67"/>
      <c r="W159" s="67"/>
      <c r="X159" s="119"/>
      <c r="Y159" s="67"/>
      <c r="Z159" s="122"/>
      <c r="AA159" s="122"/>
      <c r="AB159" s="67"/>
      <c r="AC159" s="67"/>
      <c r="AD159" s="74"/>
      <c r="AE159" s="74"/>
      <c r="AF159" s="74"/>
      <c r="AG159" s="74"/>
      <c r="AH159" s="74"/>
      <c r="AI159" s="67"/>
      <c r="AJ159" s="67"/>
      <c r="AK159" s="67"/>
      <c r="AL159" s="67"/>
      <c r="AN159" s="67"/>
      <c r="AO159" s="67"/>
      <c r="AP159" s="67"/>
      <c r="AQ159" s="67"/>
      <c r="AR159" s="67"/>
      <c r="AS159" s="67"/>
      <c r="AT159" s="105"/>
    </row>
    <row r="160" spans="1:46" s="63" customFormat="1" ht="120" customHeight="1">
      <c r="A160" s="66"/>
      <c r="B160" s="67"/>
      <c r="C160" s="67"/>
      <c r="D160" s="67"/>
      <c r="E160" s="67"/>
      <c r="F160" s="67"/>
      <c r="G160" s="67"/>
      <c r="H160" s="67"/>
      <c r="I160" s="67"/>
      <c r="J160" s="79"/>
      <c r="K160" s="80"/>
      <c r="L160" s="80"/>
      <c r="M160" s="80"/>
      <c r="N160" s="80"/>
      <c r="O160" s="81"/>
      <c r="P160" s="81"/>
      <c r="Q160" s="81"/>
      <c r="R160" s="93"/>
      <c r="S160" s="67"/>
      <c r="T160" s="67"/>
      <c r="U160" s="67"/>
      <c r="V160" s="67"/>
      <c r="W160" s="67"/>
      <c r="X160" s="119"/>
      <c r="Y160" s="67"/>
      <c r="Z160" s="122"/>
      <c r="AA160" s="122"/>
      <c r="AB160" s="67"/>
      <c r="AC160" s="67"/>
      <c r="AD160" s="74"/>
      <c r="AE160" s="74"/>
      <c r="AF160" s="74"/>
      <c r="AG160" s="74"/>
      <c r="AH160" s="74"/>
      <c r="AI160" s="67"/>
      <c r="AJ160" s="67"/>
      <c r="AK160" s="67"/>
      <c r="AL160" s="67"/>
      <c r="AN160" s="67"/>
      <c r="AO160" s="67"/>
      <c r="AP160" s="67"/>
      <c r="AQ160" s="67"/>
      <c r="AR160" s="67"/>
      <c r="AS160" s="67"/>
      <c r="AT160" s="105"/>
    </row>
    <row r="161" spans="1:46" s="60" customFormat="1" ht="120" customHeight="1">
      <c r="A161" s="71"/>
      <c r="B161" s="77"/>
      <c r="C161" s="77"/>
      <c r="D161" s="71"/>
      <c r="E161" s="71"/>
      <c r="F161" s="71"/>
      <c r="G161" s="71"/>
      <c r="H161" s="71"/>
      <c r="I161" s="71"/>
      <c r="J161" s="84"/>
      <c r="K161" s="85"/>
      <c r="L161" s="84"/>
      <c r="M161" s="85"/>
      <c r="N161" s="71"/>
      <c r="O161" s="89"/>
      <c r="P161" s="71"/>
      <c r="Q161" s="89"/>
      <c r="R161" s="71"/>
      <c r="S161" s="71"/>
      <c r="T161" s="71"/>
      <c r="U161" s="71"/>
      <c r="V161" s="71"/>
      <c r="W161" s="71"/>
      <c r="X161" s="97"/>
      <c r="Y161" s="104"/>
      <c r="Z161" s="104"/>
      <c r="AA161" s="104"/>
      <c r="AB161" s="71"/>
      <c r="AC161" s="71"/>
      <c r="AD161" s="67"/>
      <c r="AE161" s="70"/>
      <c r="AF161" s="70"/>
      <c r="AG161" s="77"/>
      <c r="AH161" s="67"/>
      <c r="AI161" s="71"/>
      <c r="AJ161" s="71"/>
      <c r="AK161" s="80"/>
      <c r="AL161" s="78"/>
      <c r="AM161" s="78"/>
      <c r="AN161" s="67"/>
      <c r="AO161" s="67"/>
      <c r="AP161" s="67"/>
      <c r="AQ161" s="67"/>
      <c r="AR161" s="71"/>
      <c r="AS161" s="67"/>
      <c r="AT161" s="105"/>
    </row>
    <row r="162" spans="1:46" s="63" customFormat="1" ht="120" customHeight="1">
      <c r="A162" s="66"/>
      <c r="B162" s="67"/>
      <c r="C162" s="67"/>
      <c r="D162" s="67"/>
      <c r="E162" s="67"/>
      <c r="F162" s="67"/>
      <c r="G162" s="67"/>
      <c r="H162" s="67"/>
      <c r="I162" s="67"/>
      <c r="J162" s="79"/>
      <c r="K162" s="80"/>
      <c r="L162" s="80"/>
      <c r="M162" s="80"/>
      <c r="N162" s="80"/>
      <c r="O162" s="81"/>
      <c r="P162" s="81"/>
      <c r="Q162" s="81"/>
      <c r="R162" s="93"/>
      <c r="S162" s="67"/>
      <c r="T162" s="67"/>
      <c r="U162" s="67"/>
      <c r="V162" s="67"/>
      <c r="W162" s="67"/>
      <c r="X162" s="119"/>
      <c r="Y162" s="67"/>
      <c r="Z162" s="122"/>
      <c r="AA162" s="122"/>
      <c r="AB162" s="67"/>
      <c r="AC162" s="67"/>
      <c r="AD162" s="67"/>
      <c r="AE162" s="67"/>
      <c r="AF162" s="67"/>
      <c r="AG162" s="67"/>
      <c r="AH162" s="67"/>
      <c r="AI162" s="67"/>
      <c r="AJ162" s="67"/>
      <c r="AK162" s="67"/>
      <c r="AL162" s="67"/>
      <c r="AM162" s="67"/>
      <c r="AN162" s="67"/>
      <c r="AO162" s="67"/>
      <c r="AP162" s="67"/>
      <c r="AQ162" s="67"/>
      <c r="AR162" s="67"/>
      <c r="AS162" s="67"/>
      <c r="AT162" s="105"/>
    </row>
    <row r="163" spans="1:46" s="63" customFormat="1" ht="120" customHeight="1">
      <c r="A163" s="66"/>
      <c r="B163" s="67"/>
      <c r="C163" s="67"/>
      <c r="D163" s="67"/>
      <c r="E163" s="67"/>
      <c r="F163" s="67"/>
      <c r="G163" s="67"/>
      <c r="H163" s="67"/>
      <c r="I163" s="67"/>
      <c r="J163" s="79"/>
      <c r="K163" s="80"/>
      <c r="L163" s="80"/>
      <c r="M163" s="80"/>
      <c r="N163" s="80"/>
      <c r="O163" s="81"/>
      <c r="P163" s="81"/>
      <c r="Q163" s="81"/>
      <c r="R163" s="93"/>
      <c r="S163" s="67"/>
      <c r="T163" s="67"/>
      <c r="U163" s="67"/>
      <c r="V163" s="67"/>
      <c r="W163" s="67"/>
      <c r="X163" s="119"/>
      <c r="Y163" s="67"/>
      <c r="Z163" s="122"/>
      <c r="AA163" s="122"/>
      <c r="AB163" s="67"/>
      <c r="AC163" s="67"/>
      <c r="AD163" s="67"/>
      <c r="AE163" s="67"/>
      <c r="AF163" s="67"/>
      <c r="AG163" s="67"/>
      <c r="AH163" s="67"/>
      <c r="AI163" s="67"/>
      <c r="AJ163" s="67"/>
      <c r="AK163" s="67"/>
      <c r="AL163" s="67"/>
      <c r="AM163" s="67"/>
      <c r="AN163" s="67"/>
      <c r="AO163" s="67"/>
      <c r="AP163" s="67"/>
      <c r="AQ163" s="67"/>
      <c r="AR163" s="67"/>
      <c r="AS163" s="67"/>
      <c r="AT163" s="105"/>
    </row>
    <row r="164" spans="1:46" s="64" customFormat="1" ht="120" customHeight="1">
      <c r="A164" s="66"/>
      <c r="B164" s="67"/>
      <c r="C164" s="67"/>
      <c r="D164" s="67"/>
      <c r="E164" s="67"/>
      <c r="F164" s="67"/>
      <c r="G164" s="67"/>
      <c r="H164" s="67"/>
      <c r="I164" s="67"/>
      <c r="J164" s="79"/>
      <c r="K164" s="80"/>
      <c r="L164" s="80"/>
      <c r="M164" s="80"/>
      <c r="N164" s="80"/>
      <c r="O164" s="81"/>
      <c r="P164" s="81"/>
      <c r="Q164" s="81"/>
      <c r="R164" s="93"/>
      <c r="S164" s="67"/>
      <c r="T164" s="67"/>
      <c r="U164" s="67"/>
      <c r="V164" s="67"/>
      <c r="W164" s="67"/>
      <c r="X164" s="119"/>
      <c r="Y164" s="67"/>
      <c r="Z164" s="122"/>
      <c r="AA164" s="122"/>
      <c r="AB164" s="67"/>
      <c r="AC164" s="67"/>
      <c r="AD164" s="67"/>
      <c r="AE164" s="67"/>
      <c r="AF164" s="67"/>
      <c r="AG164" s="67"/>
      <c r="AH164" s="67"/>
      <c r="AI164" s="67"/>
      <c r="AJ164" s="67"/>
      <c r="AK164" s="67"/>
      <c r="AL164" s="67"/>
      <c r="AM164" s="67"/>
      <c r="AN164" s="67"/>
      <c r="AO164" s="67"/>
      <c r="AP164" s="67"/>
      <c r="AQ164" s="67"/>
      <c r="AR164" s="67"/>
      <c r="AS164" s="67"/>
      <c r="AT164" s="105"/>
    </row>
    <row r="165" spans="1:46" s="64" customFormat="1" ht="120" customHeight="1">
      <c r="A165" s="113"/>
      <c r="B165" s="114"/>
      <c r="C165" s="114"/>
      <c r="D165" s="114"/>
      <c r="E165" s="114"/>
      <c r="F165" s="114"/>
      <c r="G165" s="114"/>
      <c r="H165" s="114"/>
      <c r="I165" s="114"/>
      <c r="J165" s="115"/>
      <c r="K165" s="116"/>
      <c r="L165" s="116"/>
      <c r="M165" s="116"/>
      <c r="N165" s="116"/>
      <c r="O165" s="117"/>
      <c r="P165" s="117"/>
      <c r="Q165" s="117"/>
      <c r="R165" s="120"/>
      <c r="S165" s="114"/>
      <c r="T165" s="114"/>
      <c r="U165" s="114"/>
      <c r="V165" s="114"/>
      <c r="W165" s="114"/>
      <c r="X165" s="121"/>
      <c r="Y165" s="114"/>
      <c r="Z165" s="123"/>
      <c r="AA165" s="123"/>
      <c r="AB165" s="114"/>
      <c r="AC165" s="114"/>
      <c r="AD165" s="114"/>
      <c r="AE165" s="114"/>
      <c r="AF165" s="114"/>
      <c r="AG165" s="114"/>
      <c r="AH165" s="114"/>
      <c r="AI165" s="114"/>
      <c r="AJ165" s="114"/>
      <c r="AK165" s="114"/>
      <c r="AL165" s="114"/>
      <c r="AM165" s="114"/>
      <c r="AN165" s="114"/>
      <c r="AO165" s="114"/>
      <c r="AP165" s="114"/>
      <c r="AQ165" s="114"/>
      <c r="AR165" s="114"/>
      <c r="AS165" s="114"/>
      <c r="AT165" s="125"/>
    </row>
    <row r="166" spans="1:46" s="60" customFormat="1" ht="120" customHeight="1">
      <c r="A166" s="66"/>
      <c r="B166" s="67"/>
      <c r="C166" s="67"/>
      <c r="D166" s="67"/>
      <c r="E166" s="67"/>
      <c r="F166" s="67"/>
      <c r="G166" s="67"/>
      <c r="H166" s="67"/>
      <c r="I166" s="67"/>
      <c r="J166" s="79"/>
      <c r="K166" s="80"/>
      <c r="L166" s="80"/>
      <c r="M166" s="80"/>
      <c r="N166" s="80"/>
      <c r="O166" s="81"/>
      <c r="P166" s="81"/>
      <c r="Q166" s="81"/>
      <c r="R166" s="93"/>
      <c r="S166" s="67"/>
      <c r="T166" s="67"/>
      <c r="U166" s="67"/>
      <c r="V166" s="67"/>
      <c r="W166" s="67"/>
      <c r="X166" s="119"/>
      <c r="Y166" s="67"/>
      <c r="Z166" s="122"/>
      <c r="AA166" s="122"/>
      <c r="AB166" s="67"/>
      <c r="AC166" s="67"/>
      <c r="AD166" s="67"/>
      <c r="AE166" s="67"/>
      <c r="AF166" s="67"/>
      <c r="AG166" s="67"/>
      <c r="AH166" s="67"/>
      <c r="AI166" s="67"/>
      <c r="AJ166" s="67"/>
      <c r="AK166" s="80"/>
      <c r="AL166" s="80"/>
      <c r="AM166" s="67"/>
      <c r="AN166" s="67"/>
      <c r="AO166" s="67"/>
      <c r="AP166" s="67"/>
      <c r="AQ166" s="67"/>
      <c r="AR166" s="67"/>
      <c r="AS166" s="67"/>
      <c r="AT166" s="105"/>
    </row>
    <row r="167" spans="1:46" s="63" customFormat="1" ht="120" customHeight="1">
      <c r="A167" s="66"/>
      <c r="B167" s="67"/>
      <c r="C167" s="67"/>
      <c r="D167" s="67"/>
      <c r="E167" s="67"/>
      <c r="F167" s="67"/>
      <c r="G167" s="67"/>
      <c r="H167" s="67"/>
      <c r="I167" s="67"/>
      <c r="J167" s="79"/>
      <c r="K167" s="80"/>
      <c r="L167" s="80"/>
      <c r="M167" s="80"/>
      <c r="N167" s="80"/>
      <c r="O167" s="81"/>
      <c r="P167" s="81"/>
      <c r="Q167" s="81"/>
      <c r="R167" s="93"/>
      <c r="S167" s="67"/>
      <c r="T167" s="67"/>
      <c r="U167" s="67"/>
      <c r="V167" s="67"/>
      <c r="W167" s="67"/>
      <c r="X167" s="119"/>
      <c r="Y167" s="67"/>
      <c r="Z167" s="122"/>
      <c r="AA167" s="122"/>
      <c r="AB167" s="67"/>
      <c r="AC167" s="67"/>
      <c r="AD167" s="67"/>
      <c r="AE167" s="67"/>
      <c r="AF167" s="67"/>
      <c r="AG167" s="67"/>
      <c r="AH167" s="67"/>
      <c r="AI167" s="67"/>
      <c r="AJ167" s="67"/>
      <c r="AK167" s="67"/>
      <c r="AL167" s="67"/>
      <c r="AM167" s="67"/>
      <c r="AN167" s="67"/>
      <c r="AO167" s="67"/>
      <c r="AP167" s="67"/>
      <c r="AQ167" s="67"/>
      <c r="AR167" s="67"/>
      <c r="AS167" s="67"/>
      <c r="AT167" s="105"/>
    </row>
    <row r="168" spans="1:46" s="60" customFormat="1" ht="120" customHeight="1">
      <c r="A168" s="71"/>
      <c r="B168" s="77"/>
      <c r="C168" s="70"/>
      <c r="D168" s="71"/>
      <c r="E168" s="71"/>
      <c r="F168" s="71"/>
      <c r="G168" s="71"/>
      <c r="H168" s="71"/>
      <c r="I168" s="71"/>
      <c r="J168" s="89"/>
      <c r="K168" s="118"/>
      <c r="L168" s="89"/>
      <c r="M168" s="118"/>
      <c r="N168" s="71"/>
      <c r="O168" s="71"/>
      <c r="P168" s="71"/>
      <c r="Q168" s="89"/>
      <c r="R168" s="71"/>
      <c r="S168" s="71"/>
      <c r="T168" s="71"/>
      <c r="U168" s="71"/>
      <c r="V168" s="71"/>
      <c r="W168" s="71"/>
      <c r="X168" s="97"/>
      <c r="Y168" s="104"/>
      <c r="Z168" s="104"/>
      <c r="AA168" s="104"/>
      <c r="AB168" s="81"/>
      <c r="AC168" s="71"/>
      <c r="AD168" s="78"/>
      <c r="AE168" s="70"/>
      <c r="AF168" s="70"/>
      <c r="AG168" s="70"/>
      <c r="AH168" s="67"/>
      <c r="AI168" s="67"/>
      <c r="AJ168" s="67"/>
      <c r="AK168" s="78"/>
      <c r="AL168" s="78"/>
      <c r="AM168" s="67"/>
      <c r="AN168" s="71"/>
      <c r="AO168" s="71"/>
      <c r="AP168" s="71"/>
      <c r="AQ168" s="71"/>
      <c r="AR168" s="71"/>
      <c r="AS168" s="71"/>
      <c r="AT168" s="78"/>
    </row>
    <row r="169" spans="1:46" s="60" customFormat="1" ht="120" customHeight="1">
      <c r="A169" s="71"/>
      <c r="B169" s="77"/>
      <c r="C169" s="70"/>
      <c r="D169" s="71"/>
      <c r="E169" s="71"/>
      <c r="F169" s="71"/>
      <c r="G169" s="71"/>
      <c r="H169" s="71"/>
      <c r="I169" s="71"/>
      <c r="J169" s="89"/>
      <c r="K169" s="118"/>
      <c r="L169" s="89"/>
      <c r="M169" s="118"/>
      <c r="N169" s="71"/>
      <c r="O169" s="71"/>
      <c r="P169" s="71"/>
      <c r="Q169" s="89"/>
      <c r="R169" s="71"/>
      <c r="S169" s="71"/>
      <c r="T169" s="71"/>
      <c r="U169" s="71"/>
      <c r="V169" s="71"/>
      <c r="W169" s="71"/>
      <c r="X169" s="97"/>
      <c r="Y169" s="104"/>
      <c r="Z169" s="104"/>
      <c r="AA169" s="104"/>
      <c r="AB169" s="81"/>
      <c r="AC169" s="71"/>
      <c r="AD169" s="78"/>
      <c r="AE169" s="70"/>
      <c r="AF169" s="70"/>
      <c r="AG169" s="70"/>
      <c r="AH169" s="67"/>
      <c r="AI169" s="67"/>
      <c r="AJ169" s="67"/>
      <c r="AK169" s="78"/>
      <c r="AL169" s="78"/>
      <c r="AM169" s="67"/>
      <c r="AN169" s="71"/>
      <c r="AO169" s="71"/>
      <c r="AP169" s="71"/>
      <c r="AQ169" s="71"/>
      <c r="AR169" s="71"/>
      <c r="AS169" s="71"/>
      <c r="AT169" s="78"/>
    </row>
    <row r="170" spans="1:46" s="60" customFormat="1" ht="120" customHeight="1">
      <c r="A170" s="71"/>
      <c r="B170" s="78"/>
      <c r="C170" s="78"/>
      <c r="D170" s="71"/>
      <c r="E170" s="71"/>
      <c r="F170" s="71"/>
      <c r="G170" s="71"/>
      <c r="H170" s="71"/>
      <c r="I170" s="71"/>
      <c r="J170" s="89"/>
      <c r="K170" s="118"/>
      <c r="L170" s="89"/>
      <c r="M170" s="118"/>
      <c r="N170" s="71"/>
      <c r="O170" s="84"/>
      <c r="P170" s="71"/>
      <c r="Q170" s="89"/>
      <c r="R170" s="71"/>
      <c r="S170" s="71"/>
      <c r="T170" s="71"/>
      <c r="U170" s="71"/>
      <c r="V170" s="71"/>
      <c r="W170" s="71"/>
      <c r="X170" s="97"/>
      <c r="Y170" s="71"/>
      <c r="Z170" s="71"/>
      <c r="AA170" s="104"/>
      <c r="AB170" s="71"/>
      <c r="AC170" s="71"/>
      <c r="AD170" s="78"/>
      <c r="AE170" s="67"/>
      <c r="AF170" s="67"/>
      <c r="AG170" s="71"/>
      <c r="AH170" s="67"/>
      <c r="AI170" s="71"/>
      <c r="AJ170" s="71"/>
      <c r="AK170" s="124"/>
      <c r="AL170" s="78"/>
      <c r="AM170" s="71"/>
      <c r="AN170" s="67"/>
      <c r="AO170" s="67"/>
      <c r="AP170" s="67"/>
      <c r="AQ170" s="67"/>
      <c r="AR170" s="71"/>
      <c r="AS170" s="67"/>
      <c r="AT170" s="105"/>
    </row>
    <row r="171" spans="1:46" s="60" customFormat="1" ht="120" customHeight="1">
      <c r="A171" s="71"/>
      <c r="B171" s="78"/>
      <c r="C171" s="78"/>
      <c r="D171" s="71"/>
      <c r="E171" s="71"/>
      <c r="F171" s="71"/>
      <c r="G171" s="71"/>
      <c r="H171" s="71"/>
      <c r="I171" s="71"/>
      <c r="J171" s="89"/>
      <c r="K171" s="118"/>
      <c r="L171" s="89"/>
      <c r="M171" s="118"/>
      <c r="N171" s="71"/>
      <c r="O171" s="84"/>
      <c r="P171" s="71"/>
      <c r="Q171" s="89"/>
      <c r="R171" s="71"/>
      <c r="S171" s="71"/>
      <c r="T171" s="71"/>
      <c r="U171" s="71"/>
      <c r="V171" s="71"/>
      <c r="W171" s="71"/>
      <c r="X171" s="97"/>
      <c r="Y171" s="71"/>
      <c r="Z171" s="71"/>
      <c r="AA171" s="104"/>
      <c r="AB171" s="71"/>
      <c r="AC171" s="71"/>
      <c r="AD171" s="78"/>
      <c r="AE171" s="67"/>
      <c r="AF171" s="67"/>
      <c r="AG171" s="71"/>
      <c r="AH171" s="67"/>
      <c r="AI171" s="71"/>
      <c r="AJ171" s="71"/>
      <c r="AK171" s="78"/>
      <c r="AL171" s="78"/>
      <c r="AM171" s="71"/>
      <c r="AN171" s="67"/>
      <c r="AO171" s="67"/>
      <c r="AP171" s="67"/>
      <c r="AQ171" s="67"/>
      <c r="AR171" s="71"/>
      <c r="AS171" s="67"/>
      <c r="AT171" s="105"/>
    </row>
    <row r="172" spans="1:46" s="60" customFormat="1" ht="120" customHeight="1">
      <c r="A172" s="71"/>
      <c r="B172" s="78"/>
      <c r="C172" s="78"/>
      <c r="D172" s="71"/>
      <c r="E172" s="71"/>
      <c r="F172" s="71"/>
      <c r="G172" s="71"/>
      <c r="H172" s="71"/>
      <c r="I172" s="71"/>
      <c r="J172" s="89"/>
      <c r="K172" s="118"/>
      <c r="L172" s="89"/>
      <c r="M172" s="118"/>
      <c r="N172" s="71"/>
      <c r="O172" s="71"/>
      <c r="P172" s="71"/>
      <c r="Q172" s="89"/>
      <c r="R172" s="71"/>
      <c r="S172" s="71"/>
      <c r="T172" s="71"/>
      <c r="U172" s="71"/>
      <c r="V172" s="71"/>
      <c r="W172" s="71"/>
      <c r="X172" s="97"/>
      <c r="Y172" s="71"/>
      <c r="Z172" s="71"/>
      <c r="AA172" s="104"/>
      <c r="AB172" s="71"/>
      <c r="AC172" s="71"/>
      <c r="AD172" s="78"/>
      <c r="AE172" s="67"/>
      <c r="AF172" s="67"/>
      <c r="AG172" s="71"/>
      <c r="AH172" s="67"/>
      <c r="AI172" s="71"/>
      <c r="AJ172" s="71"/>
      <c r="AK172" s="80"/>
      <c r="AL172" s="78"/>
      <c r="AM172" s="71"/>
      <c r="AN172" s="67"/>
      <c r="AO172" s="67"/>
      <c r="AP172" s="67"/>
      <c r="AQ172" s="67"/>
      <c r="AR172" s="71"/>
      <c r="AS172" s="67"/>
      <c r="AT172" s="105"/>
    </row>
    <row r="173" spans="1:46" s="60" customFormat="1" ht="120" customHeight="1">
      <c r="A173" s="71"/>
      <c r="B173" s="78"/>
      <c r="C173" s="78"/>
      <c r="D173" s="71"/>
      <c r="E173" s="71"/>
      <c r="F173" s="71"/>
      <c r="G173" s="71"/>
      <c r="H173" s="71"/>
      <c r="I173" s="71"/>
      <c r="J173" s="89"/>
      <c r="K173" s="118"/>
      <c r="L173" s="89"/>
      <c r="M173" s="118"/>
      <c r="N173" s="71"/>
      <c r="O173" s="71"/>
      <c r="P173" s="71"/>
      <c r="Q173" s="89"/>
      <c r="R173" s="71"/>
      <c r="S173" s="71"/>
      <c r="T173" s="71"/>
      <c r="U173" s="71"/>
      <c r="V173" s="71"/>
      <c r="W173" s="71"/>
      <c r="X173" s="97"/>
      <c r="Y173" s="71"/>
      <c r="Z173" s="71"/>
      <c r="AA173" s="104"/>
      <c r="AB173" s="71"/>
      <c r="AC173" s="71"/>
      <c r="AD173" s="78"/>
      <c r="AE173" s="67"/>
      <c r="AF173" s="67"/>
      <c r="AG173" s="71"/>
      <c r="AH173" s="67"/>
      <c r="AI173" s="71"/>
      <c r="AJ173" s="71"/>
      <c r="AK173" s="80"/>
      <c r="AL173" s="78"/>
      <c r="AM173" s="71"/>
      <c r="AN173" s="67"/>
      <c r="AO173" s="67"/>
      <c r="AP173" s="67"/>
      <c r="AQ173" s="67"/>
      <c r="AR173" s="71"/>
      <c r="AS173" s="67"/>
      <c r="AT173" s="105"/>
    </row>
    <row r="174" spans="1:46" s="60" customFormat="1" ht="120" customHeight="1">
      <c r="A174" s="71"/>
      <c r="B174" s="78"/>
      <c r="C174" s="78"/>
      <c r="D174" s="71"/>
      <c r="E174" s="71"/>
      <c r="F174" s="71"/>
      <c r="G174" s="71"/>
      <c r="H174" s="71"/>
      <c r="I174" s="71"/>
      <c r="J174" s="89"/>
      <c r="K174" s="118"/>
      <c r="L174" s="89"/>
      <c r="M174" s="118"/>
      <c r="N174" s="71"/>
      <c r="O174" s="89"/>
      <c r="P174" s="71"/>
      <c r="Q174" s="89"/>
      <c r="R174" s="71"/>
      <c r="S174" s="71"/>
      <c r="T174" s="71"/>
      <c r="U174" s="71"/>
      <c r="V174" s="71"/>
      <c r="W174" s="71"/>
      <c r="X174" s="97"/>
      <c r="Y174" s="71"/>
      <c r="Z174" s="71"/>
      <c r="AA174" s="104"/>
      <c r="AB174" s="71"/>
      <c r="AC174" s="71"/>
      <c r="AD174" s="78"/>
      <c r="AE174" s="67"/>
      <c r="AF174" s="67"/>
      <c r="AG174" s="71"/>
      <c r="AH174" s="67"/>
      <c r="AI174" s="71"/>
      <c r="AJ174" s="71"/>
      <c r="AK174" s="78"/>
      <c r="AL174" s="78"/>
      <c r="AM174" s="71"/>
      <c r="AN174" s="67"/>
      <c r="AO174" s="67"/>
      <c r="AP174" s="67"/>
      <c r="AQ174" s="67"/>
      <c r="AR174" s="71"/>
      <c r="AS174" s="67"/>
      <c r="AT174" s="105"/>
    </row>
    <row r="175" spans="1:46" s="60" customFormat="1" ht="120" customHeight="1">
      <c r="A175" s="71"/>
      <c r="B175" s="78"/>
      <c r="C175" s="78"/>
      <c r="D175" s="71"/>
      <c r="E175" s="71"/>
      <c r="F175" s="71"/>
      <c r="G175" s="71"/>
      <c r="H175" s="71"/>
      <c r="I175" s="71"/>
      <c r="J175" s="89"/>
      <c r="K175" s="118"/>
      <c r="L175" s="89"/>
      <c r="M175" s="118"/>
      <c r="N175" s="71"/>
      <c r="O175" s="89"/>
      <c r="P175" s="71"/>
      <c r="Q175" s="89"/>
      <c r="R175" s="71"/>
      <c r="S175" s="71"/>
      <c r="T175" s="71"/>
      <c r="U175" s="71"/>
      <c r="V175" s="71"/>
      <c r="W175" s="71"/>
      <c r="X175" s="97"/>
      <c r="Y175" s="71"/>
      <c r="Z175" s="71"/>
      <c r="AA175" s="104"/>
      <c r="AB175" s="71"/>
      <c r="AC175" s="71"/>
      <c r="AD175" s="78"/>
      <c r="AE175" s="67"/>
      <c r="AF175" s="67"/>
      <c r="AG175" s="71"/>
      <c r="AH175" s="67"/>
      <c r="AI175" s="71"/>
      <c r="AJ175" s="71"/>
      <c r="AK175" s="78"/>
      <c r="AL175" s="78"/>
      <c r="AM175" s="71"/>
      <c r="AN175" s="67"/>
      <c r="AO175" s="67"/>
      <c r="AP175" s="67"/>
      <c r="AQ175" s="67"/>
      <c r="AR175" s="71"/>
      <c r="AS175" s="67"/>
      <c r="AT175" s="105"/>
    </row>
    <row r="176" spans="1:46" s="60" customFormat="1" ht="120" customHeight="1">
      <c r="A176" s="71"/>
      <c r="B176" s="78"/>
      <c r="C176" s="78"/>
      <c r="D176" s="71"/>
      <c r="E176" s="71"/>
      <c r="F176" s="71"/>
      <c r="G176" s="71"/>
      <c r="H176" s="71"/>
      <c r="I176" s="71"/>
      <c r="J176" s="89"/>
      <c r="K176" s="118"/>
      <c r="L176" s="89"/>
      <c r="M176" s="118"/>
      <c r="N176" s="71"/>
      <c r="O176" s="84"/>
      <c r="P176" s="71"/>
      <c r="Q176" s="89"/>
      <c r="R176" s="71"/>
      <c r="S176" s="71"/>
      <c r="T176" s="71"/>
      <c r="U176" s="71"/>
      <c r="V176" s="71"/>
      <c r="W176" s="71"/>
      <c r="X176" s="97"/>
      <c r="Y176" s="71"/>
      <c r="Z176" s="71"/>
      <c r="AA176" s="104"/>
      <c r="AB176" s="71"/>
      <c r="AC176" s="71"/>
      <c r="AD176" s="78"/>
      <c r="AE176" s="67"/>
      <c r="AF176" s="67"/>
      <c r="AG176" s="71"/>
      <c r="AH176" s="67"/>
      <c r="AI176" s="71"/>
      <c r="AJ176" s="71"/>
      <c r="AK176" s="78"/>
      <c r="AL176" s="78"/>
      <c r="AM176" s="71"/>
      <c r="AN176" s="67"/>
      <c r="AO176" s="67"/>
      <c r="AP176" s="67"/>
      <c r="AQ176" s="67"/>
      <c r="AR176" s="71"/>
      <c r="AS176" s="67"/>
      <c r="AT176" s="78"/>
    </row>
    <row r="177" spans="1:46" s="60" customFormat="1" ht="120" customHeight="1">
      <c r="A177" s="71"/>
      <c r="B177" s="78"/>
      <c r="C177" s="78"/>
      <c r="D177" s="71"/>
      <c r="E177" s="71"/>
      <c r="F177" s="71"/>
      <c r="G177" s="71"/>
      <c r="H177" s="71"/>
      <c r="I177" s="71"/>
      <c r="J177" s="89"/>
      <c r="K177" s="118"/>
      <c r="L177" s="89"/>
      <c r="M177" s="118"/>
      <c r="N177" s="71"/>
      <c r="O177" s="71"/>
      <c r="P177" s="71"/>
      <c r="Q177" s="89"/>
      <c r="R177" s="71"/>
      <c r="S177" s="71"/>
      <c r="T177" s="71"/>
      <c r="U177" s="71"/>
      <c r="V177" s="71"/>
      <c r="W177" s="71"/>
      <c r="X177" s="97"/>
      <c r="Y177" s="71"/>
      <c r="Z177" s="71"/>
      <c r="AA177" s="104"/>
      <c r="AB177" s="71"/>
      <c r="AC177" s="71"/>
      <c r="AD177" s="78"/>
      <c r="AE177" s="78"/>
      <c r="AF177" s="78"/>
      <c r="AG177" s="71"/>
      <c r="AH177" s="78"/>
      <c r="AI177" s="71"/>
      <c r="AJ177" s="71"/>
      <c r="AK177" s="78"/>
      <c r="AL177" s="78"/>
      <c r="AM177" s="71"/>
      <c r="AN177" s="71"/>
      <c r="AO177" s="71"/>
      <c r="AP177" s="71"/>
      <c r="AQ177" s="71"/>
      <c r="AR177" s="71"/>
      <c r="AS177" s="71"/>
      <c r="AT177" s="78"/>
    </row>
  </sheetData>
  <phoneticPr fontId="17" type="noConversion"/>
  <dataValidations count="1">
    <dataValidation type="whole" operator="lessThan" allowBlank="1" showInputMessage="1" showErrorMessage="1" sqref="Q14 O38 Q74 J161 L161 O161 Q161 J76:J102 J168:J177 Q168:Q177 L75:L102 L168:L177 O43:O70 O77:O84 O90:O96 O170:O171 O174:O176 Q5:Q12 Q77:Q96 Q98:Q102 Q19 Q22:Q23 Q27 Q29 Q36:Q72 Q34 J2:J73 L2:L73">
      <formula1>65535</formula1>
    </dataValidation>
  </dataValidations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4"/>
  <sheetViews>
    <sheetView workbookViewId="0">
      <selection activeCell="B14" sqref="B14"/>
    </sheetView>
  </sheetViews>
  <sheetFormatPr defaultColWidth="9" defaultRowHeight="14.25"/>
  <cols>
    <col min="1" max="1" width="13.875" style="56" customWidth="1"/>
    <col min="2" max="2" width="91.25" style="56" customWidth="1"/>
    <col min="3" max="3" width="38.875" style="56" customWidth="1"/>
    <col min="4" max="4" width="12.5" style="56" customWidth="1"/>
    <col min="5" max="16384" width="9" style="56"/>
  </cols>
  <sheetData>
    <row r="1" spans="1:3">
      <c r="A1" s="57" t="s">
        <v>116</v>
      </c>
      <c r="B1" s="56" t="s">
        <v>117</v>
      </c>
    </row>
    <row r="2" spans="1:3">
      <c r="B2" s="56" t="s">
        <v>118</v>
      </c>
      <c r="C2" s="58"/>
    </row>
    <row r="3" spans="1:3">
      <c r="B3" s="56" t="s">
        <v>119</v>
      </c>
    </row>
    <row r="4" spans="1:3">
      <c r="B4" s="56" t="s">
        <v>120</v>
      </c>
    </row>
    <row r="5" spans="1:3" ht="114">
      <c r="A5" s="56" t="s">
        <v>121</v>
      </c>
      <c r="B5" s="59" t="s">
        <v>122</v>
      </c>
    </row>
    <row r="6" spans="1:3">
      <c r="A6" s="56" t="s">
        <v>123</v>
      </c>
      <c r="B6" s="56" t="s">
        <v>124</v>
      </c>
    </row>
    <row r="7" spans="1:3" ht="85.5">
      <c r="A7" s="56" t="s">
        <v>125</v>
      </c>
      <c r="B7" s="58" t="s">
        <v>126</v>
      </c>
    </row>
    <row r="8" spans="1:3">
      <c r="A8" s="56" t="s">
        <v>127</v>
      </c>
      <c r="B8" s="56" t="s">
        <v>128</v>
      </c>
    </row>
    <row r="9" spans="1:3">
      <c r="A9" s="56" t="s">
        <v>129</v>
      </c>
      <c r="B9" s="56">
        <v>1</v>
      </c>
    </row>
    <row r="10" spans="1:3">
      <c r="A10" s="56" t="s">
        <v>41</v>
      </c>
      <c r="B10" s="56" t="s">
        <v>130</v>
      </c>
    </row>
    <row r="11" spans="1:3">
      <c r="A11" s="56" t="s">
        <v>42</v>
      </c>
      <c r="B11" s="58" t="s">
        <v>131</v>
      </c>
    </row>
    <row r="12" spans="1:3">
      <c r="A12" s="56" t="s">
        <v>44</v>
      </c>
      <c r="B12" s="56" t="s">
        <v>132</v>
      </c>
    </row>
    <row r="13" spans="1:3">
      <c r="A13" s="56" t="s">
        <v>323</v>
      </c>
      <c r="B13" s="56" t="s">
        <v>324</v>
      </c>
    </row>
    <row r="14" spans="1:3">
      <c r="A14" s="56" t="s">
        <v>325</v>
      </c>
      <c r="B14" s="56" t="s">
        <v>327</v>
      </c>
    </row>
  </sheetData>
  <phoneticPr fontId="19" type="noConversion"/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C17"/>
  <sheetViews>
    <sheetView workbookViewId="0">
      <selection activeCell="A28" sqref="A28"/>
    </sheetView>
  </sheetViews>
  <sheetFormatPr defaultColWidth="9" defaultRowHeight="14.25"/>
  <cols>
    <col min="1" max="1" width="70.625" style="55" customWidth="1"/>
    <col min="2" max="16384" width="9" style="55"/>
  </cols>
  <sheetData>
    <row r="5" spans="1:3">
      <c r="A5" s="55" t="s">
        <v>133</v>
      </c>
      <c r="C5" s="55" t="s">
        <v>29</v>
      </c>
    </row>
    <row r="6" spans="1:3">
      <c r="A6" s="55" t="s">
        <v>134</v>
      </c>
      <c r="B6" s="55" t="s">
        <v>54</v>
      </c>
      <c r="C6" s="55" t="s">
        <v>29</v>
      </c>
    </row>
    <row r="7" spans="1:3">
      <c r="A7" s="55" t="s">
        <v>135</v>
      </c>
      <c r="C7" s="55" t="s">
        <v>29</v>
      </c>
    </row>
    <row r="8" spans="1:3">
      <c r="A8" s="55" t="s">
        <v>136</v>
      </c>
      <c r="B8" s="55" t="s">
        <v>54</v>
      </c>
      <c r="C8" s="55" t="s">
        <v>29</v>
      </c>
    </row>
    <row r="9" spans="1:3">
      <c r="A9" s="55" t="s">
        <v>137</v>
      </c>
      <c r="B9" s="55" t="s">
        <v>54</v>
      </c>
      <c r="C9" s="55" t="s">
        <v>29</v>
      </c>
    </row>
    <row r="10" spans="1:3">
      <c r="A10" s="55" t="s">
        <v>138</v>
      </c>
      <c r="B10" s="55" t="s">
        <v>54</v>
      </c>
      <c r="C10" s="55" t="s">
        <v>29</v>
      </c>
    </row>
    <row r="11" spans="1:3">
      <c r="A11" s="55" t="s">
        <v>139</v>
      </c>
      <c r="B11" s="55" t="s">
        <v>54</v>
      </c>
      <c r="C11" s="55" t="s">
        <v>29</v>
      </c>
    </row>
    <row r="12" spans="1:3">
      <c r="A12" s="55" t="s">
        <v>140</v>
      </c>
      <c r="C12" s="55" t="s">
        <v>29</v>
      </c>
    </row>
    <row r="13" spans="1:3">
      <c r="A13" s="55" t="s">
        <v>141</v>
      </c>
      <c r="C13" s="55" t="s">
        <v>29</v>
      </c>
    </row>
    <row r="14" spans="1:3">
      <c r="A14" s="55" t="s">
        <v>142</v>
      </c>
      <c r="B14" s="55" t="s">
        <v>54</v>
      </c>
      <c r="C14" s="55" t="s">
        <v>29</v>
      </c>
    </row>
    <row r="15" spans="1:3">
      <c r="A15" s="55" t="s">
        <v>143</v>
      </c>
      <c r="B15" s="55" t="s">
        <v>54</v>
      </c>
      <c r="C15" s="55" t="s">
        <v>29</v>
      </c>
    </row>
    <row r="16" spans="1:3">
      <c r="A16" s="55" t="s">
        <v>144</v>
      </c>
      <c r="B16" s="55" t="s">
        <v>54</v>
      </c>
      <c r="C16" s="55" t="s">
        <v>29</v>
      </c>
    </row>
    <row r="17" spans="1:3">
      <c r="A17" s="55" t="s">
        <v>145</v>
      </c>
      <c r="C17" s="55" t="s">
        <v>146</v>
      </c>
    </row>
  </sheetData>
  <phoneticPr fontId="19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52"/>
  <sheetViews>
    <sheetView workbookViewId="0">
      <selection activeCell="F9" sqref="F9"/>
    </sheetView>
  </sheetViews>
  <sheetFormatPr defaultColWidth="9" defaultRowHeight="13.5"/>
  <cols>
    <col min="3" max="3" width="11" customWidth="1"/>
  </cols>
  <sheetData>
    <row r="1" spans="1:5" ht="14.25">
      <c r="A1" t="s">
        <v>147</v>
      </c>
      <c r="B1" s="40" t="s">
        <v>148</v>
      </c>
      <c r="C1" s="1" t="s">
        <v>149</v>
      </c>
      <c r="D1" s="1" t="s">
        <v>150</v>
      </c>
    </row>
    <row r="2" spans="1:5" ht="16.5">
      <c r="A2">
        <v>1</v>
      </c>
      <c r="B2" s="41">
        <v>660</v>
      </c>
      <c r="C2" s="54" t="e">
        <f>COUNTIF(#REF!,A2)</f>
        <v>#REF!</v>
      </c>
      <c r="D2" t="e">
        <f>ROUNDDOWN(B2/C2,0)</f>
        <v>#REF!</v>
      </c>
      <c r="E2" s="54"/>
    </row>
    <row r="3" spans="1:5" ht="16.5">
      <c r="A3">
        <v>2</v>
      </c>
      <c r="B3" s="41">
        <v>770</v>
      </c>
      <c r="C3" s="54" t="e">
        <f>COUNTIF(#REF!,A3)</f>
        <v>#REF!</v>
      </c>
      <c r="D3" t="e">
        <f t="shared" ref="D3:D22" si="0">ROUNDDOWN(B3/C3,0)</f>
        <v>#REF!</v>
      </c>
      <c r="E3" s="54"/>
    </row>
    <row r="4" spans="1:5" ht="16.5">
      <c r="A4">
        <v>3</v>
      </c>
      <c r="B4" s="41">
        <v>910</v>
      </c>
      <c r="C4" s="54" t="e">
        <f>COUNTIF(#REF!,A4)</f>
        <v>#REF!</v>
      </c>
      <c r="D4" t="e">
        <f t="shared" si="0"/>
        <v>#REF!</v>
      </c>
      <c r="E4" s="54"/>
    </row>
    <row r="5" spans="1:5" ht="16.5">
      <c r="A5">
        <v>4</v>
      </c>
      <c r="B5" s="41">
        <v>1070</v>
      </c>
      <c r="C5" s="54" t="e">
        <f>COUNTIF(#REF!,A5)</f>
        <v>#REF!</v>
      </c>
      <c r="D5" t="e">
        <f t="shared" si="0"/>
        <v>#REF!</v>
      </c>
      <c r="E5" s="54"/>
    </row>
    <row r="6" spans="1:5" ht="16.5">
      <c r="A6">
        <v>5</v>
      </c>
      <c r="B6" s="41">
        <v>1250</v>
      </c>
      <c r="C6" s="54">
        <v>3</v>
      </c>
      <c r="D6">
        <f t="shared" si="0"/>
        <v>416</v>
      </c>
      <c r="E6" s="54"/>
    </row>
    <row r="7" spans="1:5" ht="16.5">
      <c r="A7">
        <v>6</v>
      </c>
      <c r="B7" s="41">
        <v>1480</v>
      </c>
      <c r="C7" s="54" t="e">
        <f>COUNTIF(#REF!,A7)</f>
        <v>#REF!</v>
      </c>
      <c r="D7" t="e">
        <f t="shared" si="0"/>
        <v>#REF!</v>
      </c>
      <c r="E7" s="54"/>
    </row>
    <row r="8" spans="1:5" ht="16.5">
      <c r="A8">
        <v>7</v>
      </c>
      <c r="B8" s="41">
        <v>1740</v>
      </c>
      <c r="C8" s="54" t="e">
        <f>COUNTIF(#REF!,A8)</f>
        <v>#REF!</v>
      </c>
      <c r="D8" t="e">
        <f t="shared" si="0"/>
        <v>#REF!</v>
      </c>
      <c r="E8" s="54"/>
    </row>
    <row r="9" spans="1:5" ht="16.5">
      <c r="A9">
        <v>8</v>
      </c>
      <c r="B9" s="41">
        <v>2040</v>
      </c>
      <c r="C9" s="54" t="e">
        <f>COUNTIF(#REF!,A9)</f>
        <v>#REF!</v>
      </c>
      <c r="D9" t="e">
        <f t="shared" si="0"/>
        <v>#REF!</v>
      </c>
      <c r="E9" s="54"/>
    </row>
    <row r="10" spans="1:5" ht="16.5">
      <c r="A10">
        <v>9</v>
      </c>
      <c r="B10" s="41">
        <v>2400</v>
      </c>
      <c r="C10" s="54" t="e">
        <f>COUNTIF(#REF!,A10)</f>
        <v>#REF!</v>
      </c>
      <c r="D10" t="e">
        <f t="shared" si="0"/>
        <v>#REF!</v>
      </c>
      <c r="E10" s="54"/>
    </row>
    <row r="11" spans="1:5" ht="16.5">
      <c r="A11">
        <v>10</v>
      </c>
      <c r="B11" s="41">
        <v>2830</v>
      </c>
      <c r="C11" s="54" t="e">
        <f>COUNTIF(#REF!,A11)</f>
        <v>#REF!</v>
      </c>
      <c r="D11" t="e">
        <f t="shared" si="0"/>
        <v>#REF!</v>
      </c>
      <c r="E11" s="54"/>
    </row>
    <row r="12" spans="1:5" ht="16.5">
      <c r="A12">
        <v>11</v>
      </c>
      <c r="B12" s="41">
        <v>3320</v>
      </c>
      <c r="C12" s="54">
        <v>4</v>
      </c>
      <c r="D12">
        <f t="shared" si="0"/>
        <v>830</v>
      </c>
      <c r="E12" s="54"/>
    </row>
    <row r="13" spans="1:5" ht="16.5">
      <c r="A13">
        <v>12</v>
      </c>
      <c r="B13" s="41">
        <v>3910</v>
      </c>
      <c r="C13" s="54" t="e">
        <f>COUNTIF(#REF!,A13)</f>
        <v>#REF!</v>
      </c>
      <c r="D13" t="e">
        <f t="shared" si="0"/>
        <v>#REF!</v>
      </c>
      <c r="E13" s="54"/>
    </row>
    <row r="14" spans="1:5" ht="16.5">
      <c r="A14" s="42">
        <v>13</v>
      </c>
      <c r="B14" s="43">
        <v>4600</v>
      </c>
      <c r="C14" s="54">
        <v>4</v>
      </c>
      <c r="D14">
        <f t="shared" si="0"/>
        <v>1150</v>
      </c>
      <c r="E14" s="54"/>
    </row>
    <row r="15" spans="1:5" ht="16.5">
      <c r="A15" s="42">
        <v>14</v>
      </c>
      <c r="B15" s="43">
        <v>5410</v>
      </c>
      <c r="C15" s="54" t="e">
        <f>COUNTIF(#REF!,A15)</f>
        <v>#REF!</v>
      </c>
      <c r="D15" t="e">
        <f t="shared" si="0"/>
        <v>#REF!</v>
      </c>
      <c r="E15" s="54"/>
    </row>
    <row r="16" spans="1:5" ht="16.5">
      <c r="A16" s="42">
        <v>15</v>
      </c>
      <c r="B16" s="43">
        <v>6370</v>
      </c>
      <c r="C16" s="54" t="e">
        <f>COUNTIF(#REF!,A16)</f>
        <v>#REF!</v>
      </c>
      <c r="D16" t="e">
        <f t="shared" si="0"/>
        <v>#REF!</v>
      </c>
      <c r="E16" s="54"/>
    </row>
    <row r="17" spans="1:5" ht="16.5">
      <c r="A17">
        <v>16</v>
      </c>
      <c r="B17" s="41">
        <v>7490</v>
      </c>
      <c r="C17" s="54">
        <v>5</v>
      </c>
      <c r="D17">
        <f t="shared" si="0"/>
        <v>1498</v>
      </c>
      <c r="E17" s="54"/>
    </row>
    <row r="18" spans="1:5" ht="16.5">
      <c r="A18">
        <v>17</v>
      </c>
      <c r="B18" s="41">
        <v>8800</v>
      </c>
      <c r="C18" s="54">
        <v>4</v>
      </c>
      <c r="D18">
        <f t="shared" si="0"/>
        <v>2200</v>
      </c>
      <c r="E18" s="54"/>
    </row>
    <row r="19" spans="1:5" ht="16.5">
      <c r="A19">
        <v>18</v>
      </c>
      <c r="B19" s="41">
        <v>10400</v>
      </c>
      <c r="C19" s="54">
        <v>4</v>
      </c>
      <c r="D19">
        <f t="shared" si="0"/>
        <v>2600</v>
      </c>
      <c r="E19" s="54"/>
    </row>
    <row r="20" spans="1:5" ht="16.5">
      <c r="A20">
        <v>19</v>
      </c>
      <c r="B20" s="41">
        <v>12200</v>
      </c>
      <c r="C20" s="54">
        <v>4</v>
      </c>
      <c r="D20">
        <f t="shared" si="0"/>
        <v>3050</v>
      </c>
      <c r="E20" s="54"/>
    </row>
    <row r="21" spans="1:5" ht="16.5">
      <c r="A21">
        <v>20</v>
      </c>
      <c r="B21" s="41">
        <v>14300</v>
      </c>
      <c r="C21" s="54" t="e">
        <f>COUNTIF(#REF!,A21)</f>
        <v>#REF!</v>
      </c>
      <c r="D21" t="e">
        <f t="shared" si="0"/>
        <v>#REF!</v>
      </c>
      <c r="E21" s="54"/>
    </row>
    <row r="22" spans="1:5" ht="16.5">
      <c r="A22">
        <v>21</v>
      </c>
      <c r="B22" s="41">
        <v>16900</v>
      </c>
      <c r="C22" s="54" t="e">
        <f>COUNTIF(#REF!,A22)</f>
        <v>#REF!</v>
      </c>
      <c r="D22" t="e">
        <f t="shared" si="0"/>
        <v>#REF!</v>
      </c>
      <c r="E22" s="54"/>
    </row>
    <row r="23" spans="1:5" ht="16.5">
      <c r="A23">
        <v>22</v>
      </c>
      <c r="B23" s="41">
        <v>20100</v>
      </c>
      <c r="C23" s="54" t="e">
        <f>COUNTIF(#REF!,A23)</f>
        <v>#REF!</v>
      </c>
    </row>
    <row r="24" spans="1:5" ht="16.5">
      <c r="A24">
        <v>23</v>
      </c>
      <c r="B24" s="41">
        <v>23700</v>
      </c>
      <c r="C24" s="54" t="e">
        <f>COUNTIF(#REF!,A24)</f>
        <v>#REF!</v>
      </c>
    </row>
    <row r="25" spans="1:5" ht="16.5">
      <c r="A25">
        <v>24</v>
      </c>
      <c r="B25" s="41">
        <v>27900</v>
      </c>
      <c r="C25" s="54" t="e">
        <f>COUNTIF(#REF!,A25)</f>
        <v>#REF!</v>
      </c>
    </row>
    <row r="26" spans="1:5" ht="16.5">
      <c r="A26">
        <v>25</v>
      </c>
      <c r="B26" s="41">
        <v>32400</v>
      </c>
      <c r="C26" s="54" t="e">
        <f>COUNTIF(#REF!,A26)</f>
        <v>#REF!</v>
      </c>
    </row>
    <row r="27" spans="1:5" ht="16.5">
      <c r="A27">
        <v>26</v>
      </c>
      <c r="B27" s="41">
        <v>37700</v>
      </c>
      <c r="C27" s="54" t="e">
        <f>COUNTIF(#REF!,A27)</f>
        <v>#REF!</v>
      </c>
    </row>
    <row r="28" spans="1:5" ht="16.5">
      <c r="A28">
        <v>27</v>
      </c>
      <c r="B28" s="41">
        <v>43200</v>
      </c>
      <c r="C28" s="54" t="e">
        <f>COUNTIF(#REF!,A28)</f>
        <v>#REF!</v>
      </c>
    </row>
    <row r="29" spans="1:5" ht="16.5">
      <c r="A29">
        <v>28</v>
      </c>
      <c r="B29" s="41">
        <v>49500</v>
      </c>
      <c r="C29" s="54" t="e">
        <f>COUNTIF(#REF!,A29)</f>
        <v>#REF!</v>
      </c>
    </row>
    <row r="30" spans="1:5" ht="16.5">
      <c r="A30">
        <v>29</v>
      </c>
      <c r="B30" s="41">
        <v>56500</v>
      </c>
      <c r="C30" s="54" t="e">
        <f>COUNTIF(#REF!,A30)</f>
        <v>#REF!</v>
      </c>
    </row>
    <row r="31" spans="1:5" ht="16.5">
      <c r="A31">
        <v>30</v>
      </c>
      <c r="B31" s="41">
        <v>64100</v>
      </c>
      <c r="C31" s="54" t="e">
        <f>COUNTIF(#REF!,A31)</f>
        <v>#REF!</v>
      </c>
    </row>
    <row r="32" spans="1:5" ht="16.5">
      <c r="A32">
        <v>31</v>
      </c>
      <c r="B32" s="41">
        <v>73000</v>
      </c>
      <c r="C32" s="54" t="e">
        <f>COUNTIF(#REF!,A32)</f>
        <v>#REF!</v>
      </c>
    </row>
    <row r="33" spans="1:3" ht="16.5">
      <c r="A33">
        <v>32</v>
      </c>
      <c r="B33" s="41">
        <v>82000</v>
      </c>
      <c r="C33" s="54" t="e">
        <f>COUNTIF(#REF!,A33)</f>
        <v>#REF!</v>
      </c>
    </row>
    <row r="34" spans="1:3" ht="16.5">
      <c r="A34">
        <v>33</v>
      </c>
      <c r="B34" s="41">
        <v>92000</v>
      </c>
      <c r="C34" s="54" t="e">
        <f>COUNTIF(#REF!,A34)</f>
        <v>#REF!</v>
      </c>
    </row>
    <row r="35" spans="1:3" ht="16.5">
      <c r="A35">
        <v>34</v>
      </c>
      <c r="B35" s="41">
        <v>103000</v>
      </c>
      <c r="C35" s="54" t="e">
        <f>COUNTIF(#REF!,A35)</f>
        <v>#REF!</v>
      </c>
    </row>
    <row r="36" spans="1:3" ht="16.5">
      <c r="A36">
        <v>35</v>
      </c>
      <c r="B36" s="41">
        <v>115000</v>
      </c>
      <c r="C36" s="54" t="e">
        <f>COUNTIF(#REF!,A36)</f>
        <v>#REF!</v>
      </c>
    </row>
    <row r="37" spans="1:3" ht="14.25">
      <c r="A37">
        <v>36</v>
      </c>
      <c r="B37" s="41">
        <v>128000</v>
      </c>
    </row>
    <row r="38" spans="1:3" ht="14.25">
      <c r="A38">
        <v>37</v>
      </c>
      <c r="B38" s="41">
        <v>142000</v>
      </c>
    </row>
    <row r="39" spans="1:3" ht="14.25">
      <c r="A39">
        <v>38</v>
      </c>
      <c r="B39" s="41">
        <v>157000</v>
      </c>
    </row>
    <row r="40" spans="1:3" ht="14.25">
      <c r="A40">
        <v>39</v>
      </c>
      <c r="B40" s="41">
        <v>174000</v>
      </c>
    </row>
    <row r="41" spans="1:3" ht="14.25">
      <c r="A41">
        <v>40</v>
      </c>
      <c r="B41" s="41">
        <v>191000</v>
      </c>
    </row>
    <row r="42" spans="1:3" ht="14.25">
      <c r="A42">
        <v>41</v>
      </c>
      <c r="B42" s="41">
        <v>210000</v>
      </c>
    </row>
    <row r="43" spans="1:3" ht="14.25">
      <c r="A43">
        <v>42</v>
      </c>
      <c r="B43" s="41">
        <v>230000</v>
      </c>
    </row>
    <row r="44" spans="1:3" ht="14.25">
      <c r="A44">
        <v>43</v>
      </c>
      <c r="B44" s="41">
        <v>252000</v>
      </c>
    </row>
    <row r="45" spans="1:3" ht="14.25">
      <c r="A45">
        <v>44</v>
      </c>
      <c r="B45" s="41">
        <v>275000</v>
      </c>
    </row>
    <row r="46" spans="1:3" ht="14.25">
      <c r="A46">
        <v>45</v>
      </c>
      <c r="B46" s="41">
        <v>300000</v>
      </c>
    </row>
    <row r="47" spans="1:3" ht="14.25">
      <c r="A47">
        <v>46</v>
      </c>
      <c r="B47" s="41">
        <v>326000</v>
      </c>
    </row>
    <row r="48" spans="1:3" ht="14.25">
      <c r="A48">
        <v>47</v>
      </c>
      <c r="B48" s="41">
        <v>354000</v>
      </c>
    </row>
    <row r="49" spans="1:2" ht="14.25">
      <c r="A49">
        <v>48</v>
      </c>
      <c r="B49" s="41">
        <v>384000</v>
      </c>
    </row>
    <row r="50" spans="1:2" ht="14.25">
      <c r="A50">
        <v>49</v>
      </c>
      <c r="B50" s="41">
        <v>415000</v>
      </c>
    </row>
    <row r="51" spans="1:2" ht="14.25">
      <c r="A51">
        <v>50</v>
      </c>
      <c r="B51" s="41">
        <v>449000</v>
      </c>
    </row>
    <row r="52" spans="1:2" ht="14.25">
      <c r="A52">
        <v>51</v>
      </c>
      <c r="B52" s="41">
        <v>532000</v>
      </c>
    </row>
    <row r="53" spans="1:2" ht="14.25">
      <c r="A53">
        <v>52</v>
      </c>
      <c r="B53" s="41">
        <v>626000</v>
      </c>
    </row>
    <row r="54" spans="1:2" ht="14.25">
      <c r="A54">
        <v>53</v>
      </c>
      <c r="B54" s="41">
        <v>730000</v>
      </c>
    </row>
    <row r="55" spans="1:2" ht="14.25">
      <c r="A55">
        <v>54</v>
      </c>
      <c r="B55" s="41">
        <v>850000</v>
      </c>
    </row>
    <row r="56" spans="1:2" ht="14.25">
      <c r="A56">
        <v>55</v>
      </c>
      <c r="B56" s="41">
        <v>970000</v>
      </c>
    </row>
    <row r="57" spans="1:2" ht="14.25">
      <c r="A57">
        <v>56</v>
      </c>
      <c r="B57" s="41">
        <v>1110000</v>
      </c>
    </row>
    <row r="58" spans="1:2" ht="14.25">
      <c r="A58">
        <v>57</v>
      </c>
      <c r="B58" s="41">
        <v>1260000</v>
      </c>
    </row>
    <row r="59" spans="1:2" ht="14.25">
      <c r="A59">
        <v>58</v>
      </c>
      <c r="B59" s="41">
        <v>1430000</v>
      </c>
    </row>
    <row r="60" spans="1:2" ht="14.25">
      <c r="A60">
        <v>59</v>
      </c>
      <c r="B60" s="41">
        <v>1620000</v>
      </c>
    </row>
    <row r="61" spans="1:2" ht="14.25">
      <c r="A61">
        <v>60</v>
      </c>
      <c r="B61" s="41">
        <v>1820000</v>
      </c>
    </row>
    <row r="62" spans="1:2" ht="14.25">
      <c r="A62">
        <v>61</v>
      </c>
      <c r="B62" s="41">
        <v>4890000</v>
      </c>
    </row>
    <row r="63" spans="1:2" ht="14.25">
      <c r="A63">
        <v>62</v>
      </c>
      <c r="B63" s="41">
        <v>5390000</v>
      </c>
    </row>
    <row r="64" spans="1:2" ht="14.25">
      <c r="A64">
        <v>63</v>
      </c>
      <c r="B64" s="41">
        <v>5930000</v>
      </c>
    </row>
    <row r="65" spans="1:2" ht="14.25">
      <c r="A65">
        <v>64</v>
      </c>
      <c r="B65" s="41">
        <v>6510000</v>
      </c>
    </row>
    <row r="66" spans="1:2" ht="14.25">
      <c r="A66">
        <v>65</v>
      </c>
      <c r="B66" s="41">
        <v>7120000</v>
      </c>
    </row>
    <row r="67" spans="1:2" ht="14.25">
      <c r="A67">
        <v>66</v>
      </c>
      <c r="B67" s="41">
        <v>7770000</v>
      </c>
    </row>
    <row r="68" spans="1:2" ht="14.25">
      <c r="A68">
        <v>67</v>
      </c>
      <c r="B68" s="41">
        <v>8450000</v>
      </c>
    </row>
    <row r="69" spans="1:2" ht="14.25">
      <c r="A69">
        <v>68</v>
      </c>
      <c r="B69" s="41">
        <v>9450000</v>
      </c>
    </row>
    <row r="70" spans="1:2" ht="14.25">
      <c r="A70">
        <v>69</v>
      </c>
      <c r="B70" s="41">
        <v>10520000</v>
      </c>
    </row>
    <row r="71" spans="1:2" ht="14.25">
      <c r="A71">
        <v>70</v>
      </c>
      <c r="B71" s="41">
        <v>11700000</v>
      </c>
    </row>
    <row r="72" spans="1:2" ht="14.25">
      <c r="A72">
        <v>71</v>
      </c>
      <c r="B72" s="41">
        <v>12600000</v>
      </c>
    </row>
    <row r="73" spans="1:2" ht="14.25">
      <c r="A73">
        <v>72</v>
      </c>
      <c r="B73" s="41">
        <v>13600000</v>
      </c>
    </row>
    <row r="74" spans="1:2" ht="14.25">
      <c r="A74">
        <v>73</v>
      </c>
      <c r="B74" s="41">
        <v>14600000</v>
      </c>
    </row>
    <row r="75" spans="1:2" ht="14.25">
      <c r="A75">
        <v>74</v>
      </c>
      <c r="B75" s="41">
        <v>15700000</v>
      </c>
    </row>
    <row r="76" spans="1:2" ht="14.25">
      <c r="A76">
        <v>75</v>
      </c>
      <c r="B76" s="41">
        <v>16900000</v>
      </c>
    </row>
    <row r="77" spans="1:2" ht="14.25">
      <c r="A77">
        <v>76</v>
      </c>
      <c r="B77" s="41">
        <v>18100000</v>
      </c>
    </row>
    <row r="78" spans="1:2" ht="14.25">
      <c r="A78">
        <v>77</v>
      </c>
      <c r="B78" s="41">
        <v>19300000</v>
      </c>
    </row>
    <row r="79" spans="1:2" ht="14.25">
      <c r="A79">
        <v>78</v>
      </c>
      <c r="B79" s="41">
        <v>21100000</v>
      </c>
    </row>
    <row r="80" spans="1:2" ht="14.25">
      <c r="A80">
        <v>79</v>
      </c>
      <c r="B80" s="41">
        <v>23100000</v>
      </c>
    </row>
    <row r="81" spans="1:2" ht="14.25">
      <c r="A81">
        <v>80</v>
      </c>
      <c r="B81" s="41">
        <v>25300000</v>
      </c>
    </row>
    <row r="82" spans="1:2" ht="14.25">
      <c r="A82">
        <v>81</v>
      </c>
      <c r="B82" s="41">
        <v>38700000</v>
      </c>
    </row>
    <row r="83" spans="1:2" ht="14.25">
      <c r="A83">
        <v>82</v>
      </c>
      <c r="B83" s="41">
        <v>41200000</v>
      </c>
    </row>
    <row r="84" spans="1:2" ht="14.25">
      <c r="A84">
        <v>83</v>
      </c>
      <c r="B84" s="41">
        <v>43700000</v>
      </c>
    </row>
    <row r="85" spans="1:2" ht="14.25">
      <c r="A85">
        <v>84</v>
      </c>
      <c r="B85" s="41">
        <v>46300000</v>
      </c>
    </row>
    <row r="86" spans="1:2" ht="14.25">
      <c r="A86">
        <v>85</v>
      </c>
      <c r="B86" s="41">
        <v>49100000</v>
      </c>
    </row>
    <row r="87" spans="1:2" ht="14.25">
      <c r="A87">
        <v>86</v>
      </c>
      <c r="B87" s="41">
        <v>51900000</v>
      </c>
    </row>
    <row r="88" spans="1:2" ht="14.25">
      <c r="A88">
        <v>87</v>
      </c>
      <c r="B88" s="41">
        <v>54800000</v>
      </c>
    </row>
    <row r="89" spans="1:2" ht="14.25">
      <c r="A89">
        <v>88</v>
      </c>
      <c r="B89" s="41">
        <v>60500000</v>
      </c>
    </row>
    <row r="90" spans="1:2" ht="14.25">
      <c r="A90">
        <v>89</v>
      </c>
      <c r="B90" s="41">
        <v>66600000</v>
      </c>
    </row>
    <row r="91" spans="1:2" ht="14.25">
      <c r="A91">
        <v>90</v>
      </c>
      <c r="B91" s="41">
        <v>73100000</v>
      </c>
    </row>
    <row r="92" spans="1:2" ht="14.25">
      <c r="A92">
        <v>91</v>
      </c>
      <c r="B92" s="41">
        <v>101000000</v>
      </c>
    </row>
    <row r="93" spans="1:2" ht="14.25">
      <c r="A93">
        <v>92</v>
      </c>
      <c r="B93" s="41">
        <v>106000000</v>
      </c>
    </row>
    <row r="94" spans="1:2" ht="14.25">
      <c r="A94">
        <v>93</v>
      </c>
      <c r="B94" s="41">
        <v>112000000</v>
      </c>
    </row>
    <row r="95" spans="1:2" ht="14.25">
      <c r="A95">
        <v>94</v>
      </c>
      <c r="B95" s="41">
        <v>117000000</v>
      </c>
    </row>
    <row r="96" spans="1:2" ht="14.25">
      <c r="A96">
        <v>95</v>
      </c>
      <c r="B96" s="41">
        <v>123000000</v>
      </c>
    </row>
    <row r="97" spans="1:2" ht="14.25">
      <c r="A97">
        <v>96</v>
      </c>
      <c r="B97" s="41">
        <v>129000000</v>
      </c>
    </row>
    <row r="98" spans="1:2" ht="14.25">
      <c r="A98">
        <v>97</v>
      </c>
      <c r="B98" s="41">
        <v>136000000</v>
      </c>
    </row>
    <row r="99" spans="1:2" ht="14.25">
      <c r="A99">
        <v>98</v>
      </c>
      <c r="B99" s="41">
        <v>147000000</v>
      </c>
    </row>
    <row r="100" spans="1:2" ht="14.25">
      <c r="A100">
        <v>99</v>
      </c>
      <c r="B100" s="41">
        <v>160000000</v>
      </c>
    </row>
    <row r="101" spans="1:2" ht="14.25">
      <c r="A101">
        <v>100</v>
      </c>
      <c r="B101" s="41">
        <v>173000000</v>
      </c>
    </row>
    <row r="102" spans="1:2" ht="14.25">
      <c r="A102">
        <v>101</v>
      </c>
      <c r="B102" s="41">
        <v>227000000</v>
      </c>
    </row>
    <row r="103" spans="1:2" ht="14.25">
      <c r="A103">
        <v>102</v>
      </c>
      <c r="B103" s="41">
        <v>237000000</v>
      </c>
    </row>
    <row r="104" spans="1:2" ht="14.25">
      <c r="A104">
        <v>103</v>
      </c>
      <c r="B104" s="41">
        <v>248000000</v>
      </c>
    </row>
    <row r="105" spans="1:2" ht="14.25">
      <c r="A105">
        <v>104</v>
      </c>
      <c r="B105" s="41">
        <v>259000000</v>
      </c>
    </row>
    <row r="106" spans="1:2" ht="14.25">
      <c r="A106">
        <v>105</v>
      </c>
      <c r="B106" s="41">
        <v>270000000</v>
      </c>
    </row>
    <row r="107" spans="1:2" ht="14.25">
      <c r="A107">
        <v>106</v>
      </c>
      <c r="B107" s="41">
        <v>282000000</v>
      </c>
    </row>
    <row r="108" spans="1:2" ht="14.25">
      <c r="A108">
        <v>107</v>
      </c>
      <c r="B108" s="41">
        <v>294000000</v>
      </c>
    </row>
    <row r="109" spans="1:2" ht="14.25">
      <c r="A109">
        <v>108</v>
      </c>
      <c r="B109" s="41">
        <v>315000000</v>
      </c>
    </row>
    <row r="110" spans="1:2" ht="14.25">
      <c r="A110">
        <v>109</v>
      </c>
      <c r="B110" s="41">
        <v>338000000</v>
      </c>
    </row>
    <row r="111" spans="1:2" ht="14.25">
      <c r="A111">
        <v>110</v>
      </c>
      <c r="B111" s="41">
        <v>363000000</v>
      </c>
    </row>
    <row r="112" spans="1:2" ht="14.25">
      <c r="A112">
        <v>111</v>
      </c>
      <c r="B112" s="41">
        <v>458000000</v>
      </c>
    </row>
    <row r="113" spans="1:2" ht="14.25">
      <c r="A113">
        <v>112</v>
      </c>
      <c r="B113" s="41">
        <v>477000000</v>
      </c>
    </row>
    <row r="114" spans="1:2" ht="14.25">
      <c r="A114">
        <v>113</v>
      </c>
      <c r="B114" s="41">
        <v>496000000</v>
      </c>
    </row>
    <row r="115" spans="1:2" ht="14.25">
      <c r="A115">
        <v>114</v>
      </c>
      <c r="B115" s="41">
        <v>515000000</v>
      </c>
    </row>
    <row r="116" spans="1:2" ht="14.25">
      <c r="A116">
        <v>115</v>
      </c>
      <c r="B116" s="41">
        <v>535000000</v>
      </c>
    </row>
    <row r="117" spans="1:2" ht="14.25">
      <c r="A117">
        <v>116</v>
      </c>
      <c r="B117" s="41">
        <v>555000000</v>
      </c>
    </row>
    <row r="118" spans="1:2" ht="14.25">
      <c r="A118">
        <v>117</v>
      </c>
      <c r="B118" s="41">
        <v>577000000</v>
      </c>
    </row>
    <row r="119" spans="1:2" ht="14.25">
      <c r="A119">
        <v>118</v>
      </c>
      <c r="B119" s="41">
        <v>614000000</v>
      </c>
    </row>
    <row r="120" spans="1:2" ht="14.25">
      <c r="A120">
        <v>119</v>
      </c>
      <c r="B120" s="41">
        <v>653000000</v>
      </c>
    </row>
    <row r="121" spans="1:2" ht="14.25">
      <c r="A121">
        <v>120</v>
      </c>
      <c r="B121" s="41">
        <v>694000000</v>
      </c>
    </row>
    <row r="122" spans="1:2" ht="14.25">
      <c r="A122">
        <v>121</v>
      </c>
      <c r="B122" s="41">
        <v>854000000</v>
      </c>
    </row>
    <row r="123" spans="1:2" ht="14.25">
      <c r="A123">
        <v>122</v>
      </c>
      <c r="B123" s="41">
        <v>885000000</v>
      </c>
    </row>
    <row r="124" spans="1:2" ht="14.25">
      <c r="A124">
        <v>123</v>
      </c>
      <c r="B124" s="41">
        <v>916000000</v>
      </c>
    </row>
    <row r="125" spans="1:2" ht="14.25">
      <c r="A125">
        <v>124</v>
      </c>
      <c r="B125" s="41">
        <v>948000000</v>
      </c>
    </row>
    <row r="126" spans="1:2" ht="14.25">
      <c r="A126">
        <v>125</v>
      </c>
      <c r="B126" s="41">
        <v>981000000</v>
      </c>
    </row>
    <row r="127" spans="1:2" ht="14.25">
      <c r="A127">
        <v>126</v>
      </c>
      <c r="B127" s="41">
        <v>1010000000</v>
      </c>
    </row>
    <row r="128" spans="1:2" ht="14.25">
      <c r="A128">
        <v>127</v>
      </c>
      <c r="B128" s="41">
        <v>1050000000</v>
      </c>
    </row>
    <row r="129" spans="1:2" ht="14.25">
      <c r="A129">
        <v>128</v>
      </c>
      <c r="B129" s="41">
        <v>1110000000</v>
      </c>
    </row>
    <row r="130" spans="1:2" ht="14.25">
      <c r="A130">
        <v>129</v>
      </c>
      <c r="B130" s="41">
        <v>1170000000</v>
      </c>
    </row>
    <row r="131" spans="1:2" ht="14.25">
      <c r="A131">
        <v>130</v>
      </c>
      <c r="B131" s="41">
        <v>1240000000</v>
      </c>
    </row>
    <row r="132" spans="1:2" ht="14.25">
      <c r="A132">
        <v>131</v>
      </c>
      <c r="B132" s="41">
        <v>1490000000</v>
      </c>
    </row>
    <row r="133" spans="1:2" ht="14.25">
      <c r="A133">
        <v>132</v>
      </c>
      <c r="B133" s="41">
        <v>1540000000</v>
      </c>
    </row>
    <row r="134" spans="1:2" ht="14.25">
      <c r="A134">
        <v>133</v>
      </c>
      <c r="B134" s="41">
        <v>1590000000</v>
      </c>
    </row>
    <row r="135" spans="1:2" ht="14.25">
      <c r="A135">
        <v>134</v>
      </c>
      <c r="B135" s="41">
        <v>1640000000</v>
      </c>
    </row>
    <row r="136" spans="1:2" ht="14.25">
      <c r="A136">
        <v>135</v>
      </c>
      <c r="B136" s="41">
        <v>1690000000</v>
      </c>
    </row>
    <row r="137" spans="1:2" ht="14.25">
      <c r="A137">
        <v>136</v>
      </c>
      <c r="B137" s="41">
        <v>1740000000</v>
      </c>
    </row>
    <row r="138" spans="1:2" ht="14.25">
      <c r="A138">
        <v>137</v>
      </c>
      <c r="B138" s="41">
        <v>1800000000</v>
      </c>
    </row>
    <row r="139" spans="1:2" ht="14.25">
      <c r="A139">
        <v>138</v>
      </c>
      <c r="B139" s="41">
        <v>1890000000</v>
      </c>
    </row>
    <row r="140" spans="1:2" ht="14.25">
      <c r="A140">
        <v>139</v>
      </c>
      <c r="B140" s="41">
        <v>1990000000</v>
      </c>
    </row>
    <row r="141" spans="1:2" ht="14.25">
      <c r="A141">
        <v>140</v>
      </c>
      <c r="B141" s="41">
        <v>2090000000</v>
      </c>
    </row>
    <row r="142" spans="1:2" ht="14.25">
      <c r="A142">
        <v>141</v>
      </c>
      <c r="B142" s="41">
        <v>2470000000</v>
      </c>
    </row>
    <row r="143" spans="1:2" ht="14.25">
      <c r="A143">
        <v>142</v>
      </c>
      <c r="B143" s="41">
        <v>2540000000</v>
      </c>
    </row>
    <row r="144" spans="1:2" ht="14.25">
      <c r="A144">
        <v>143</v>
      </c>
      <c r="B144" s="41">
        <v>2620000000</v>
      </c>
    </row>
    <row r="145" spans="1:2" ht="14.25">
      <c r="A145">
        <v>144</v>
      </c>
      <c r="B145" s="41">
        <v>2690000000</v>
      </c>
    </row>
    <row r="146" spans="1:2" ht="14.25">
      <c r="A146">
        <v>145</v>
      </c>
      <c r="B146" s="41">
        <v>2770000000</v>
      </c>
    </row>
    <row r="147" spans="1:2" ht="14.25">
      <c r="A147">
        <v>146</v>
      </c>
      <c r="B147" s="41">
        <v>2850000000</v>
      </c>
    </row>
    <row r="148" spans="1:2" ht="14.25">
      <c r="A148">
        <v>147</v>
      </c>
      <c r="B148" s="41">
        <v>2930000000</v>
      </c>
    </row>
    <row r="149" spans="1:2" ht="14.25">
      <c r="A149">
        <v>148</v>
      </c>
      <c r="B149" s="41">
        <v>3070000000</v>
      </c>
    </row>
    <row r="150" spans="1:2" ht="14.25">
      <c r="A150">
        <v>149</v>
      </c>
      <c r="B150" s="41">
        <v>3220000000</v>
      </c>
    </row>
    <row r="151" spans="1:2" ht="14.25">
      <c r="A151">
        <v>150</v>
      </c>
      <c r="B151" s="41">
        <v>3370000000</v>
      </c>
    </row>
    <row r="152" spans="1:2" ht="14.25">
      <c r="A152">
        <v>151</v>
      </c>
      <c r="B152" s="41">
        <v>3370000000</v>
      </c>
    </row>
  </sheetData>
  <phoneticPr fontId="19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5"/>
  <sheetViews>
    <sheetView workbookViewId="0">
      <selection activeCell="C8" sqref="C8"/>
    </sheetView>
  </sheetViews>
  <sheetFormatPr defaultColWidth="9" defaultRowHeight="13.5"/>
  <sheetData>
    <row r="1" spans="1:7" ht="14.25">
      <c r="A1" s="6">
        <v>1</v>
      </c>
      <c r="B1" s="20">
        <v>330</v>
      </c>
      <c r="C1">
        <f>G2/2</f>
        <v>330</v>
      </c>
      <c r="F1" t="s">
        <v>147</v>
      </c>
      <c r="G1" s="40" t="s">
        <v>148</v>
      </c>
    </row>
    <row r="2" spans="1:7" ht="14.25">
      <c r="A2" s="6">
        <v>1</v>
      </c>
      <c r="B2" s="20">
        <v>330</v>
      </c>
      <c r="C2">
        <f>G2/2</f>
        <v>330</v>
      </c>
      <c r="F2">
        <v>1</v>
      </c>
      <c r="G2" s="41">
        <v>660</v>
      </c>
    </row>
    <row r="3" spans="1:7" ht="14.25">
      <c r="A3" s="6">
        <v>2</v>
      </c>
      <c r="B3" s="20">
        <v>400</v>
      </c>
      <c r="C3">
        <f>G3/2</f>
        <v>385</v>
      </c>
      <c r="F3">
        <v>2</v>
      </c>
      <c r="G3" s="41">
        <v>770</v>
      </c>
    </row>
    <row r="4" spans="1:7" ht="14.25">
      <c r="A4" s="7">
        <v>2</v>
      </c>
      <c r="B4" s="20">
        <v>370</v>
      </c>
      <c r="C4">
        <f>G3/2</f>
        <v>385</v>
      </c>
      <c r="F4">
        <v>3</v>
      </c>
      <c r="G4" s="41">
        <v>910</v>
      </c>
    </row>
    <row r="5" spans="1:7" ht="14.25">
      <c r="A5" s="7">
        <v>3</v>
      </c>
      <c r="B5" s="20">
        <v>500</v>
      </c>
      <c r="C5">
        <f>G4/2</f>
        <v>455</v>
      </c>
      <c r="F5">
        <v>4</v>
      </c>
      <c r="G5" s="41">
        <v>1070</v>
      </c>
    </row>
    <row r="6" spans="1:7" ht="14.25">
      <c r="A6" s="7">
        <v>3</v>
      </c>
      <c r="B6" s="20">
        <v>410</v>
      </c>
      <c r="C6">
        <f>G4/2</f>
        <v>455</v>
      </c>
      <c r="F6">
        <v>5</v>
      </c>
      <c r="G6" s="41">
        <v>1250</v>
      </c>
    </row>
    <row r="7" spans="1:7" ht="14.25">
      <c r="A7" s="7">
        <v>4</v>
      </c>
      <c r="B7" s="20">
        <v>600</v>
      </c>
      <c r="C7">
        <f>G5/2</f>
        <v>535</v>
      </c>
      <c r="F7">
        <v>6</v>
      </c>
      <c r="G7" s="41">
        <v>1480</v>
      </c>
    </row>
    <row r="8" spans="1:7" ht="14.25">
      <c r="A8" s="7">
        <v>4</v>
      </c>
      <c r="B8" s="20">
        <v>470</v>
      </c>
      <c r="C8">
        <f>G5/2</f>
        <v>535</v>
      </c>
      <c r="F8">
        <v>7</v>
      </c>
      <c r="G8" s="41">
        <v>1740</v>
      </c>
    </row>
    <row r="9" spans="1:7" ht="14.25">
      <c r="A9" s="7">
        <v>5</v>
      </c>
      <c r="B9" s="20">
        <v>600</v>
      </c>
      <c r="C9">
        <f>G6/2</f>
        <v>625</v>
      </c>
      <c r="F9">
        <v>8</v>
      </c>
      <c r="G9" s="41">
        <v>2040</v>
      </c>
    </row>
    <row r="10" spans="1:7" ht="14.25">
      <c r="A10" s="7">
        <v>5</v>
      </c>
      <c r="B10" s="20">
        <v>650</v>
      </c>
      <c r="C10">
        <f>G6/2</f>
        <v>625</v>
      </c>
      <c r="F10">
        <v>9</v>
      </c>
      <c r="G10" s="41">
        <v>2400</v>
      </c>
    </row>
    <row r="11" spans="1:7" ht="14.25">
      <c r="A11" s="7">
        <v>6</v>
      </c>
      <c r="B11" s="20">
        <v>840</v>
      </c>
      <c r="C11">
        <f>G7/2</f>
        <v>740</v>
      </c>
      <c r="F11">
        <v>10</v>
      </c>
      <c r="G11" s="41">
        <v>2830</v>
      </c>
    </row>
    <row r="12" spans="1:7" ht="14.25">
      <c r="A12" s="7">
        <v>6</v>
      </c>
      <c r="B12" s="20">
        <v>700</v>
      </c>
      <c r="C12">
        <f>G7/2</f>
        <v>740</v>
      </c>
      <c r="F12">
        <v>11</v>
      </c>
      <c r="G12" s="41">
        <v>3320</v>
      </c>
    </row>
    <row r="13" spans="1:7" ht="14.25">
      <c r="A13" s="7">
        <v>7</v>
      </c>
      <c r="B13" s="20">
        <v>1000</v>
      </c>
      <c r="C13">
        <f>G8/2</f>
        <v>870</v>
      </c>
      <c r="F13">
        <v>12</v>
      </c>
      <c r="G13" s="41">
        <v>3910</v>
      </c>
    </row>
    <row r="14" spans="1:7" ht="14.25">
      <c r="A14" s="7">
        <v>7</v>
      </c>
      <c r="B14" s="20">
        <v>950</v>
      </c>
      <c r="C14">
        <f>G8/2</f>
        <v>870</v>
      </c>
      <c r="F14" s="42">
        <v>13</v>
      </c>
      <c r="G14" s="43">
        <v>4600</v>
      </c>
    </row>
    <row r="15" spans="1:7" ht="14.25">
      <c r="A15" s="7">
        <v>8</v>
      </c>
      <c r="B15" s="20">
        <v>1800</v>
      </c>
      <c r="C15">
        <f>G9</f>
        <v>2040</v>
      </c>
      <c r="F15" s="42">
        <v>14</v>
      </c>
      <c r="G15" s="43">
        <v>5410</v>
      </c>
    </row>
    <row r="16" spans="1:7" ht="14.25">
      <c r="A16" s="7">
        <v>9</v>
      </c>
      <c r="B16" s="20">
        <v>1200</v>
      </c>
      <c r="C16">
        <f>G10/2</f>
        <v>1200</v>
      </c>
      <c r="F16" s="42">
        <v>15</v>
      </c>
      <c r="G16" s="43">
        <v>6370</v>
      </c>
    </row>
    <row r="17" spans="1:7" ht="14.25">
      <c r="A17" s="7">
        <v>9</v>
      </c>
      <c r="B17" s="20">
        <v>1200</v>
      </c>
      <c r="C17">
        <f>G10/2</f>
        <v>1200</v>
      </c>
      <c r="F17">
        <v>16</v>
      </c>
      <c r="G17" s="41">
        <v>7490</v>
      </c>
    </row>
    <row r="18" spans="1:7" ht="14.25">
      <c r="A18" s="7">
        <v>10</v>
      </c>
      <c r="B18" s="20">
        <v>1415</v>
      </c>
      <c r="C18">
        <f>$G$11/5</f>
        <v>566</v>
      </c>
      <c r="F18">
        <v>17</v>
      </c>
      <c r="G18" s="41">
        <v>8800</v>
      </c>
    </row>
    <row r="19" spans="1:7" ht="14.25">
      <c r="A19" s="7">
        <v>10</v>
      </c>
      <c r="B19" s="20">
        <v>1415</v>
      </c>
      <c r="C19">
        <f t="shared" ref="C19:C22" si="0">$G$11/5</f>
        <v>566</v>
      </c>
      <c r="F19">
        <v>18</v>
      </c>
      <c r="G19" s="41">
        <v>10400</v>
      </c>
    </row>
    <row r="20" spans="1:7" ht="14.25">
      <c r="A20" s="7">
        <v>10</v>
      </c>
      <c r="B20" s="20">
        <v>250</v>
      </c>
      <c r="C20">
        <f t="shared" si="0"/>
        <v>566</v>
      </c>
      <c r="F20">
        <v>19</v>
      </c>
      <c r="G20" s="41">
        <v>12200</v>
      </c>
    </row>
    <row r="21" spans="1:7" ht="14.25">
      <c r="A21" s="7">
        <v>10</v>
      </c>
      <c r="B21" s="20">
        <v>600</v>
      </c>
      <c r="C21">
        <f t="shared" si="0"/>
        <v>566</v>
      </c>
      <c r="F21">
        <v>20</v>
      </c>
      <c r="G21" s="41">
        <v>14300</v>
      </c>
    </row>
    <row r="22" spans="1:7" ht="14.25">
      <c r="A22" s="7">
        <v>10</v>
      </c>
      <c r="B22" s="20">
        <v>280</v>
      </c>
      <c r="C22">
        <f t="shared" si="0"/>
        <v>566</v>
      </c>
      <c r="F22">
        <v>21</v>
      </c>
      <c r="G22" s="41">
        <v>16900</v>
      </c>
    </row>
    <row r="23" spans="1:7">
      <c r="A23" s="7">
        <v>11</v>
      </c>
      <c r="B23" s="20">
        <v>300</v>
      </c>
      <c r="C23">
        <f>ROUNDUP($G$12/6,0)</f>
        <v>554</v>
      </c>
    </row>
    <row r="24" spans="1:7">
      <c r="A24" s="7">
        <v>11</v>
      </c>
      <c r="B24" s="20">
        <v>300</v>
      </c>
      <c r="C24">
        <f t="shared" ref="C24:C28" si="1">ROUNDUP($G$12/6,0)</f>
        <v>554</v>
      </c>
    </row>
    <row r="25" spans="1:7">
      <c r="A25" s="7">
        <v>11</v>
      </c>
      <c r="B25" s="20">
        <v>300</v>
      </c>
      <c r="C25">
        <f t="shared" si="1"/>
        <v>554</v>
      </c>
    </row>
    <row r="26" spans="1:7">
      <c r="A26" s="6">
        <v>11</v>
      </c>
      <c r="B26" s="20">
        <v>350</v>
      </c>
      <c r="C26">
        <f t="shared" si="1"/>
        <v>554</v>
      </c>
    </row>
    <row r="27" spans="1:7">
      <c r="A27" s="6">
        <v>11</v>
      </c>
      <c r="B27" s="20">
        <v>350</v>
      </c>
      <c r="C27">
        <f t="shared" si="1"/>
        <v>554</v>
      </c>
    </row>
    <row r="28" spans="1:7">
      <c r="A28" s="6">
        <v>11</v>
      </c>
      <c r="B28" s="20">
        <v>400</v>
      </c>
      <c r="C28">
        <f t="shared" si="1"/>
        <v>554</v>
      </c>
    </row>
    <row r="29" spans="1:7">
      <c r="A29" s="6">
        <v>12</v>
      </c>
      <c r="B29" s="20">
        <v>300</v>
      </c>
    </row>
    <row r="30" spans="1:7">
      <c r="A30" s="6">
        <v>12</v>
      </c>
      <c r="B30" s="20">
        <v>300</v>
      </c>
    </row>
    <row r="31" spans="1:7">
      <c r="A31" s="6">
        <v>12</v>
      </c>
      <c r="B31" s="20">
        <v>600</v>
      </c>
    </row>
    <row r="32" spans="1:7">
      <c r="A32" s="6">
        <v>12</v>
      </c>
      <c r="B32" s="20">
        <v>450</v>
      </c>
    </row>
    <row r="33" spans="1:2">
      <c r="A33" s="6">
        <v>13</v>
      </c>
      <c r="B33" s="20">
        <v>550</v>
      </c>
    </row>
    <row r="34" spans="1:2">
      <c r="A34" s="6">
        <v>13</v>
      </c>
      <c r="B34" s="20">
        <v>600</v>
      </c>
    </row>
    <row r="35" spans="1:2">
      <c r="A35" s="6">
        <v>13</v>
      </c>
      <c r="B35" s="20">
        <v>420</v>
      </c>
    </row>
    <row r="36" spans="1:2">
      <c r="A36" s="44">
        <v>13</v>
      </c>
      <c r="B36" s="45">
        <v>800</v>
      </c>
    </row>
    <row r="37" spans="1:2">
      <c r="A37" s="44">
        <v>13</v>
      </c>
      <c r="B37" s="45">
        <v>700</v>
      </c>
    </row>
    <row r="38" spans="1:2">
      <c r="A38" s="44">
        <v>13</v>
      </c>
      <c r="B38" s="45">
        <v>700</v>
      </c>
    </row>
    <row r="39" spans="1:2">
      <c r="A39" s="6">
        <v>14</v>
      </c>
      <c r="B39" s="20">
        <v>490</v>
      </c>
    </row>
    <row r="40" spans="1:2">
      <c r="A40" s="46">
        <v>14</v>
      </c>
      <c r="B40" s="47">
        <v>500</v>
      </c>
    </row>
    <row r="41" spans="1:2">
      <c r="A41" s="6">
        <v>14</v>
      </c>
      <c r="B41" s="20">
        <v>1000</v>
      </c>
    </row>
    <row r="42" spans="1:2">
      <c r="A42" s="6">
        <v>15</v>
      </c>
      <c r="B42" s="20">
        <v>500</v>
      </c>
    </row>
    <row r="43" spans="1:2">
      <c r="A43" s="6">
        <v>15</v>
      </c>
      <c r="B43" s="20">
        <v>700</v>
      </c>
    </row>
    <row r="44" spans="1:2">
      <c r="A44" s="6">
        <v>15</v>
      </c>
      <c r="B44" s="20">
        <v>600</v>
      </c>
    </row>
    <row r="45" spans="1:2">
      <c r="A45" s="6">
        <v>15</v>
      </c>
      <c r="B45" s="20">
        <v>1200</v>
      </c>
    </row>
    <row r="46" spans="1:2">
      <c r="A46" s="6">
        <v>16</v>
      </c>
      <c r="B46" s="20">
        <v>800</v>
      </c>
    </row>
    <row r="47" spans="1:2">
      <c r="A47" s="6">
        <v>16</v>
      </c>
      <c r="B47" s="20">
        <v>650</v>
      </c>
    </row>
    <row r="48" spans="1:2">
      <c r="A48" s="6">
        <v>16</v>
      </c>
      <c r="B48" s="20">
        <v>700</v>
      </c>
    </row>
    <row r="49" spans="1:2">
      <c r="A49" s="48">
        <v>16</v>
      </c>
      <c r="B49" s="47">
        <v>1600</v>
      </c>
    </row>
    <row r="50" spans="1:2">
      <c r="A50" s="48">
        <v>16</v>
      </c>
      <c r="B50" s="47">
        <v>1600</v>
      </c>
    </row>
    <row r="51" spans="1:2">
      <c r="A51" s="48">
        <v>16</v>
      </c>
      <c r="B51" s="47">
        <v>1600</v>
      </c>
    </row>
    <row r="52" spans="1:2">
      <c r="A52" s="48">
        <v>16</v>
      </c>
      <c r="B52" s="47">
        <v>1600</v>
      </c>
    </row>
    <row r="53" spans="1:2">
      <c r="A53" s="48">
        <v>16</v>
      </c>
      <c r="B53" s="47">
        <v>1600</v>
      </c>
    </row>
    <row r="54" spans="1:2">
      <c r="A54" s="48">
        <v>16</v>
      </c>
      <c r="B54" s="47">
        <v>1600</v>
      </c>
    </row>
    <row r="55" spans="1:2">
      <c r="A55" s="48">
        <v>16</v>
      </c>
      <c r="B55" s="47">
        <v>1600</v>
      </c>
    </row>
    <row r="56" spans="1:2">
      <c r="A56" s="6">
        <v>16</v>
      </c>
      <c r="B56" s="20">
        <v>750</v>
      </c>
    </row>
    <row r="57" spans="1:2">
      <c r="A57" s="49">
        <v>16</v>
      </c>
      <c r="B57" s="50">
        <v>800</v>
      </c>
    </row>
    <row r="58" spans="1:2">
      <c r="A58" s="49">
        <v>17</v>
      </c>
      <c r="B58" s="50">
        <v>1600</v>
      </c>
    </row>
    <row r="59" spans="1:2">
      <c r="A59" s="49">
        <v>17</v>
      </c>
      <c r="B59" s="50">
        <v>1200</v>
      </c>
    </row>
    <row r="60" spans="1:2">
      <c r="A60" s="49">
        <v>17</v>
      </c>
      <c r="B60" s="50">
        <v>900</v>
      </c>
    </row>
    <row r="61" spans="1:2">
      <c r="A61" s="33">
        <v>17</v>
      </c>
      <c r="B61" s="20">
        <v>1000</v>
      </c>
    </row>
    <row r="62" spans="1:2">
      <c r="A62" s="6">
        <v>18</v>
      </c>
      <c r="B62" s="20">
        <v>1300</v>
      </c>
    </row>
    <row r="63" spans="1:2">
      <c r="A63" s="6">
        <v>18</v>
      </c>
      <c r="B63" s="20">
        <v>1600</v>
      </c>
    </row>
    <row r="64" spans="1:2">
      <c r="A64" s="7">
        <v>18</v>
      </c>
      <c r="B64" s="20">
        <v>1400</v>
      </c>
    </row>
    <row r="65" spans="1:2">
      <c r="A65" s="29">
        <v>18</v>
      </c>
      <c r="B65" s="51">
        <v>2500</v>
      </c>
    </row>
    <row r="66" spans="1:2">
      <c r="A66" s="29">
        <v>18</v>
      </c>
      <c r="B66" s="51">
        <v>2500</v>
      </c>
    </row>
    <row r="67" spans="1:2">
      <c r="A67" s="29">
        <v>18</v>
      </c>
      <c r="B67" s="51">
        <v>2500</v>
      </c>
    </row>
    <row r="68" spans="1:2">
      <c r="A68" s="6">
        <v>18</v>
      </c>
      <c r="B68" s="20">
        <v>1000</v>
      </c>
    </row>
    <row r="69" spans="1:2">
      <c r="A69" s="6">
        <v>19</v>
      </c>
      <c r="B69" s="20">
        <v>2200</v>
      </c>
    </row>
    <row r="70" spans="1:2">
      <c r="A70" s="6">
        <v>19</v>
      </c>
      <c r="B70" s="20">
        <v>2900</v>
      </c>
    </row>
    <row r="71" spans="1:2">
      <c r="A71" s="6">
        <v>19</v>
      </c>
      <c r="B71" s="20">
        <v>2900</v>
      </c>
    </row>
    <row r="72" spans="1:2">
      <c r="A72" s="6">
        <v>19</v>
      </c>
      <c r="B72" s="20">
        <v>2900</v>
      </c>
    </row>
    <row r="73" spans="1:2">
      <c r="A73" s="52">
        <v>19</v>
      </c>
      <c r="B73" s="53">
        <v>1500</v>
      </c>
    </row>
    <row r="74" spans="1:2">
      <c r="A74" s="7">
        <v>19</v>
      </c>
      <c r="B74" s="20">
        <v>1500</v>
      </c>
    </row>
    <row r="75" spans="1:2">
      <c r="A75" s="7">
        <v>19</v>
      </c>
      <c r="B75" s="20">
        <v>1500</v>
      </c>
    </row>
    <row r="76" spans="1:2">
      <c r="A76" s="7">
        <v>20</v>
      </c>
      <c r="B76" s="20">
        <v>2400</v>
      </c>
    </row>
    <row r="77" spans="1:2">
      <c r="A77" s="48">
        <v>20</v>
      </c>
      <c r="B77" s="47">
        <v>2400</v>
      </c>
    </row>
    <row r="78" spans="1:2">
      <c r="A78" s="48">
        <v>20</v>
      </c>
      <c r="B78" s="47">
        <v>1800</v>
      </c>
    </row>
    <row r="79" spans="1:2">
      <c r="A79" s="48">
        <v>20</v>
      </c>
      <c r="B79" s="47">
        <v>3800</v>
      </c>
    </row>
    <row r="80" spans="1:2">
      <c r="A80" s="7">
        <v>20</v>
      </c>
      <c r="B80" s="20">
        <v>2500</v>
      </c>
    </row>
    <row r="81" spans="1:2">
      <c r="A81" s="7">
        <v>20</v>
      </c>
      <c r="B81" s="20">
        <v>5500</v>
      </c>
    </row>
    <row r="82" spans="1:2">
      <c r="A82" s="48">
        <v>21</v>
      </c>
      <c r="B82" s="47">
        <v>2500</v>
      </c>
    </row>
    <row r="83" spans="1:2">
      <c r="A83" s="6">
        <v>21</v>
      </c>
      <c r="B83" s="20">
        <v>1400</v>
      </c>
    </row>
    <row r="84" spans="1:2">
      <c r="A84" s="6">
        <v>21</v>
      </c>
      <c r="B84" s="20">
        <v>1400</v>
      </c>
    </row>
    <row r="85" spans="1:2">
      <c r="A85" s="6">
        <v>21</v>
      </c>
      <c r="B85" s="20">
        <v>3800</v>
      </c>
    </row>
  </sheetData>
  <phoneticPr fontId="19" type="noConversion"/>
  <pageMargins left="0.69930555555555596" right="0.69930555555555596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11"/>
  <sheetViews>
    <sheetView topLeftCell="O1" workbookViewId="0">
      <selection activeCell="A9" sqref="A9:XFD9"/>
    </sheetView>
  </sheetViews>
  <sheetFormatPr defaultColWidth="9" defaultRowHeight="13.5"/>
  <sheetData>
    <row r="1" spans="1:46" s="2" customFormat="1" ht="27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3" t="s">
        <v>14</v>
      </c>
      <c r="P1" s="13" t="s">
        <v>15</v>
      </c>
      <c r="Q1" s="13" t="s">
        <v>16</v>
      </c>
      <c r="R1" s="16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17" t="s">
        <v>23</v>
      </c>
      <c r="Y1" s="5" t="s">
        <v>24</v>
      </c>
      <c r="Z1" s="21" t="s">
        <v>25</v>
      </c>
      <c r="AA1" s="22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5" t="s">
        <v>43</v>
      </c>
      <c r="AS1" s="5" t="s">
        <v>44</v>
      </c>
      <c r="AT1" s="2" t="s">
        <v>45</v>
      </c>
    </row>
    <row r="2" spans="1:46" s="3" customFormat="1" ht="188.25" customHeight="1">
      <c r="A2" s="4">
        <v>3001</v>
      </c>
      <c r="B2" s="6">
        <v>1007</v>
      </c>
      <c r="C2" s="6" t="s">
        <v>151</v>
      </c>
      <c r="D2" s="6">
        <v>1</v>
      </c>
      <c r="E2" s="6">
        <v>1</v>
      </c>
      <c r="F2" s="6">
        <v>1</v>
      </c>
      <c r="G2" s="6">
        <v>200</v>
      </c>
      <c r="H2" s="6">
        <v>0</v>
      </c>
      <c r="I2" s="6">
        <v>0</v>
      </c>
      <c r="J2" s="14">
        <v>60045</v>
      </c>
      <c r="K2" s="7" t="s">
        <v>48</v>
      </c>
      <c r="L2" s="7">
        <v>60045</v>
      </c>
      <c r="M2" s="7" t="s">
        <v>152</v>
      </c>
      <c r="N2" s="7"/>
      <c r="O2" s="15"/>
      <c r="P2" s="15"/>
      <c r="Q2" s="15"/>
      <c r="R2" s="18"/>
      <c r="S2" s="6">
        <v>1</v>
      </c>
      <c r="T2" s="6">
        <v>1</v>
      </c>
      <c r="U2" s="19">
        <v>5</v>
      </c>
      <c r="V2" s="6"/>
      <c r="W2" s="6"/>
      <c r="X2" s="20">
        <v>330</v>
      </c>
      <c r="Y2" s="6"/>
      <c r="Z2" s="23"/>
      <c r="AA2" s="24"/>
      <c r="AB2" s="6"/>
      <c r="AC2" s="6"/>
      <c r="AD2" s="25" t="s">
        <v>153</v>
      </c>
      <c r="AE2" s="25" t="s">
        <v>154</v>
      </c>
      <c r="AF2" s="25" t="s">
        <v>155</v>
      </c>
      <c r="AG2" s="25"/>
      <c r="AH2" s="25" t="s">
        <v>156</v>
      </c>
      <c r="AI2" s="6"/>
      <c r="AJ2" s="6"/>
      <c r="AK2" s="6" t="s">
        <v>157</v>
      </c>
      <c r="AL2" s="6" t="s">
        <v>158</v>
      </c>
      <c r="AM2" s="6"/>
      <c r="AN2" s="6">
        <v>1</v>
      </c>
      <c r="AO2" s="6">
        <v>0</v>
      </c>
      <c r="AP2" s="6">
        <v>1</v>
      </c>
      <c r="AQ2" s="6">
        <v>1</v>
      </c>
      <c r="AR2" s="6"/>
      <c r="AS2" s="6">
        <v>0</v>
      </c>
      <c r="AT2" s="28" t="str">
        <f t="shared" ref="AT2:AT10" si="0">"{s_taskTalk,{"&amp;J2&amp;","&amp;L2&amp;"}}"</f>
        <v>{s_taskTalk,{60045,60045}}</v>
      </c>
    </row>
    <row r="3" spans="1:46" s="3" customFormat="1" ht="71.25" customHeight="1">
      <c r="A3" s="4">
        <v>3021</v>
      </c>
      <c r="B3" s="6">
        <v>1009</v>
      </c>
      <c r="C3" s="6" t="s">
        <v>159</v>
      </c>
      <c r="D3" s="6">
        <v>1</v>
      </c>
      <c r="E3" s="6">
        <v>1</v>
      </c>
      <c r="F3" s="6">
        <v>2</v>
      </c>
      <c r="G3" s="6">
        <v>200</v>
      </c>
      <c r="H3" s="6">
        <v>3001</v>
      </c>
      <c r="I3" s="6">
        <v>0</v>
      </c>
      <c r="J3" s="14">
        <v>60046</v>
      </c>
      <c r="K3" s="7" t="s">
        <v>160</v>
      </c>
      <c r="L3" s="7">
        <v>60046</v>
      </c>
      <c r="M3" s="7" t="s">
        <v>160</v>
      </c>
      <c r="N3" s="7"/>
      <c r="O3" s="15">
        <v>60141</v>
      </c>
      <c r="P3" s="15"/>
      <c r="Q3" s="15"/>
      <c r="R3" s="18"/>
      <c r="S3" s="6">
        <v>1</v>
      </c>
      <c r="T3" s="6">
        <v>0</v>
      </c>
      <c r="U3" s="19">
        <v>5</v>
      </c>
      <c r="V3" s="6"/>
      <c r="W3" s="6"/>
      <c r="X3" s="20">
        <v>400</v>
      </c>
      <c r="Y3" s="6"/>
      <c r="Z3" s="23"/>
      <c r="AA3" s="24"/>
      <c r="AB3" s="6"/>
      <c r="AC3" s="6"/>
      <c r="AD3" s="25" t="s">
        <v>161</v>
      </c>
      <c r="AE3" s="25" t="s">
        <v>162</v>
      </c>
      <c r="AF3" s="25" t="s">
        <v>163</v>
      </c>
      <c r="AG3" s="25" t="s">
        <v>164</v>
      </c>
      <c r="AH3" s="25" t="s">
        <v>165</v>
      </c>
      <c r="AI3" s="6"/>
      <c r="AJ3" s="6">
        <v>0</v>
      </c>
      <c r="AK3" s="6" t="s">
        <v>166</v>
      </c>
      <c r="AL3" s="6" t="s">
        <v>167</v>
      </c>
      <c r="AM3" s="6"/>
      <c r="AN3" s="6">
        <v>1</v>
      </c>
      <c r="AO3" s="6">
        <v>0</v>
      </c>
      <c r="AP3" s="6">
        <v>1</v>
      </c>
      <c r="AQ3" s="6">
        <v>1</v>
      </c>
      <c r="AR3" s="6"/>
      <c r="AS3" s="6">
        <v>0</v>
      </c>
      <c r="AT3" s="28" t="str">
        <f t="shared" si="0"/>
        <v>{s_taskTalk,{60046,60046}}</v>
      </c>
    </row>
    <row r="4" spans="1:46" s="3" customFormat="1" ht="71.25" customHeight="1">
      <c r="A4" s="4">
        <v>6001</v>
      </c>
      <c r="B4" s="6">
        <v>1009</v>
      </c>
      <c r="C4" s="6" t="s">
        <v>159</v>
      </c>
      <c r="D4" s="6">
        <v>1</v>
      </c>
      <c r="E4" s="6">
        <v>1</v>
      </c>
      <c r="F4" s="6">
        <v>2</v>
      </c>
      <c r="G4" s="6">
        <v>200</v>
      </c>
      <c r="H4" s="4">
        <v>0</v>
      </c>
      <c r="I4" s="6">
        <v>0</v>
      </c>
      <c r="J4" s="14">
        <v>60046</v>
      </c>
      <c r="K4" s="7" t="s">
        <v>160</v>
      </c>
      <c r="L4" s="7">
        <v>60046</v>
      </c>
      <c r="M4" s="7" t="s">
        <v>160</v>
      </c>
      <c r="N4" s="7"/>
      <c r="O4" s="15">
        <v>60141</v>
      </c>
      <c r="P4" s="15"/>
      <c r="Q4" s="15"/>
      <c r="R4" s="18"/>
      <c r="S4" s="6">
        <v>1</v>
      </c>
      <c r="T4" s="6">
        <v>0</v>
      </c>
      <c r="U4" s="19">
        <v>5</v>
      </c>
      <c r="V4" s="6"/>
      <c r="W4" s="6"/>
      <c r="X4" s="20">
        <v>400</v>
      </c>
      <c r="Y4" s="6"/>
      <c r="Z4" s="23"/>
      <c r="AA4" s="24"/>
      <c r="AB4" s="6"/>
      <c r="AC4" s="6"/>
      <c r="AD4" s="25" t="s">
        <v>161</v>
      </c>
      <c r="AE4" s="25" t="s">
        <v>162</v>
      </c>
      <c r="AF4" s="25" t="s">
        <v>163</v>
      </c>
      <c r="AG4" s="25" t="s">
        <v>164</v>
      </c>
      <c r="AH4" s="25" t="s">
        <v>165</v>
      </c>
      <c r="AI4" s="6"/>
      <c r="AJ4" s="6">
        <v>0</v>
      </c>
      <c r="AK4" s="6" t="s">
        <v>166</v>
      </c>
      <c r="AL4" s="6" t="s">
        <v>167</v>
      </c>
      <c r="AM4" s="6"/>
      <c r="AN4" s="6">
        <v>0</v>
      </c>
      <c r="AO4" s="6">
        <v>0</v>
      </c>
      <c r="AP4" s="6">
        <v>1</v>
      </c>
      <c r="AQ4" s="6">
        <v>1</v>
      </c>
      <c r="AR4" s="6"/>
      <c r="AS4" s="6">
        <v>0</v>
      </c>
      <c r="AT4" s="28" t="str">
        <f t="shared" si="0"/>
        <v>{s_taskTalk,{60046,60046}}</v>
      </c>
    </row>
    <row r="5" spans="1:46" s="3" customFormat="1" ht="71.25" customHeight="1">
      <c r="A5" s="4">
        <v>6002</v>
      </c>
      <c r="B5" s="6">
        <v>1009</v>
      </c>
      <c r="C5" s="6" t="s">
        <v>159</v>
      </c>
      <c r="D5" s="6">
        <v>1</v>
      </c>
      <c r="E5" s="6">
        <v>1</v>
      </c>
      <c r="F5" s="6">
        <v>2</v>
      </c>
      <c r="G5" s="6">
        <v>200</v>
      </c>
      <c r="H5" s="6">
        <v>0</v>
      </c>
      <c r="I5" s="6">
        <v>0</v>
      </c>
      <c r="J5" s="14">
        <v>60046</v>
      </c>
      <c r="K5" s="7" t="s">
        <v>160</v>
      </c>
      <c r="L5" s="7">
        <v>60046</v>
      </c>
      <c r="M5" s="7" t="s">
        <v>160</v>
      </c>
      <c r="N5" s="7"/>
      <c r="O5" s="15">
        <v>60141</v>
      </c>
      <c r="P5" s="15"/>
      <c r="Q5" s="15"/>
      <c r="R5" s="18"/>
      <c r="S5" s="6">
        <v>1</v>
      </c>
      <c r="T5" s="6">
        <v>0</v>
      </c>
      <c r="U5" s="19">
        <v>5</v>
      </c>
      <c r="V5" s="6"/>
      <c r="W5" s="6"/>
      <c r="X5" s="20">
        <v>400</v>
      </c>
      <c r="Y5" s="6"/>
      <c r="Z5" s="23"/>
      <c r="AA5" s="24"/>
      <c r="AB5" s="6"/>
      <c r="AC5" s="6"/>
      <c r="AD5" s="25" t="s">
        <v>161</v>
      </c>
      <c r="AE5" s="25" t="s">
        <v>162</v>
      </c>
      <c r="AF5" s="25" t="s">
        <v>163</v>
      </c>
      <c r="AG5" s="25" t="s">
        <v>164</v>
      </c>
      <c r="AH5" s="25" t="s">
        <v>165</v>
      </c>
      <c r="AI5" s="6"/>
      <c r="AJ5" s="6">
        <v>0</v>
      </c>
      <c r="AK5" s="6" t="s">
        <v>166</v>
      </c>
      <c r="AL5" s="6" t="s">
        <v>167</v>
      </c>
      <c r="AM5" s="6"/>
      <c r="AN5" s="6">
        <v>0</v>
      </c>
      <c r="AO5" s="6">
        <v>0</v>
      </c>
      <c r="AP5" s="6">
        <v>1</v>
      </c>
      <c r="AQ5" s="6">
        <v>1</v>
      </c>
      <c r="AR5" s="6"/>
      <c r="AS5" s="6">
        <v>0</v>
      </c>
      <c r="AT5" s="28" t="str">
        <f t="shared" si="0"/>
        <v>{s_taskTalk,{60046,60046}}</v>
      </c>
    </row>
    <row r="6" spans="1:46" s="3" customFormat="1" ht="71.25" customHeight="1">
      <c r="A6" s="4">
        <v>6003</v>
      </c>
      <c r="B6" s="6">
        <v>1009</v>
      </c>
      <c r="C6" s="6" t="s">
        <v>159</v>
      </c>
      <c r="D6" s="6">
        <v>1</v>
      </c>
      <c r="E6" s="6">
        <v>1</v>
      </c>
      <c r="F6" s="6">
        <v>2</v>
      </c>
      <c r="G6" s="6">
        <v>200</v>
      </c>
      <c r="H6" s="6">
        <v>0</v>
      </c>
      <c r="I6" s="6">
        <v>0</v>
      </c>
      <c r="J6" s="14">
        <v>60046</v>
      </c>
      <c r="K6" s="7" t="s">
        <v>160</v>
      </c>
      <c r="L6" s="7">
        <v>60046</v>
      </c>
      <c r="M6" s="7" t="s">
        <v>160</v>
      </c>
      <c r="N6" s="7"/>
      <c r="O6" s="15">
        <v>60141</v>
      </c>
      <c r="P6" s="15"/>
      <c r="Q6" s="15"/>
      <c r="R6" s="18"/>
      <c r="S6" s="6">
        <v>1</v>
      </c>
      <c r="T6" s="6">
        <v>0</v>
      </c>
      <c r="U6" s="19">
        <v>5</v>
      </c>
      <c r="V6" s="6"/>
      <c r="W6" s="6"/>
      <c r="X6" s="20">
        <v>400</v>
      </c>
      <c r="Y6" s="6"/>
      <c r="Z6" s="23"/>
      <c r="AA6" s="24"/>
      <c r="AB6" s="6"/>
      <c r="AC6" s="6"/>
      <c r="AD6" s="25" t="s">
        <v>161</v>
      </c>
      <c r="AE6" s="25" t="s">
        <v>162</v>
      </c>
      <c r="AF6" s="25" t="s">
        <v>163</v>
      </c>
      <c r="AG6" s="25" t="s">
        <v>164</v>
      </c>
      <c r="AH6" s="25" t="s">
        <v>165</v>
      </c>
      <c r="AI6" s="6"/>
      <c r="AJ6" s="6">
        <v>0</v>
      </c>
      <c r="AK6" s="6" t="s">
        <v>166</v>
      </c>
      <c r="AL6" s="6" t="s">
        <v>167</v>
      </c>
      <c r="AM6" s="6"/>
      <c r="AN6" s="6">
        <v>0</v>
      </c>
      <c r="AO6" s="6">
        <v>0</v>
      </c>
      <c r="AP6" s="6">
        <v>1</v>
      </c>
      <c r="AQ6" s="6">
        <v>1</v>
      </c>
      <c r="AR6" s="6"/>
      <c r="AS6" s="6">
        <v>0</v>
      </c>
      <c r="AT6" s="28" t="str">
        <f t="shared" si="0"/>
        <v>{s_taskTalk,{60046,60046}}</v>
      </c>
    </row>
    <row r="7" spans="1:46" s="3" customFormat="1" ht="71.25" customHeight="1">
      <c r="A7" s="4">
        <v>6004</v>
      </c>
      <c r="B7" s="6">
        <v>1009</v>
      </c>
      <c r="C7" s="6" t="s">
        <v>159</v>
      </c>
      <c r="D7" s="6">
        <v>1</v>
      </c>
      <c r="E7" s="6">
        <v>1</v>
      </c>
      <c r="F7" s="6">
        <v>2</v>
      </c>
      <c r="G7" s="6">
        <v>200</v>
      </c>
      <c r="H7" s="6">
        <v>0</v>
      </c>
      <c r="I7" s="6">
        <v>0</v>
      </c>
      <c r="J7" s="14">
        <v>60046</v>
      </c>
      <c r="K7" s="7" t="s">
        <v>160</v>
      </c>
      <c r="L7" s="7">
        <v>60046</v>
      </c>
      <c r="M7" s="7" t="s">
        <v>160</v>
      </c>
      <c r="N7" s="7"/>
      <c r="O7" s="15">
        <v>60141</v>
      </c>
      <c r="P7" s="15"/>
      <c r="Q7" s="15"/>
      <c r="R7" s="18"/>
      <c r="S7" s="6">
        <v>1</v>
      </c>
      <c r="T7" s="6">
        <v>0</v>
      </c>
      <c r="U7" s="19">
        <v>5</v>
      </c>
      <c r="V7" s="6"/>
      <c r="W7" s="6"/>
      <c r="X7" s="20">
        <v>400</v>
      </c>
      <c r="Y7" s="6"/>
      <c r="Z7" s="23"/>
      <c r="AA7" s="24"/>
      <c r="AB7" s="6"/>
      <c r="AC7" s="6"/>
      <c r="AD7" s="25" t="s">
        <v>161</v>
      </c>
      <c r="AE7" s="25" t="s">
        <v>162</v>
      </c>
      <c r="AF7" s="25" t="s">
        <v>163</v>
      </c>
      <c r="AG7" s="25" t="s">
        <v>164</v>
      </c>
      <c r="AH7" s="25" t="s">
        <v>165</v>
      </c>
      <c r="AI7" s="6"/>
      <c r="AJ7" s="6">
        <v>0</v>
      </c>
      <c r="AK7" s="6" t="s">
        <v>166</v>
      </c>
      <c r="AL7" s="6" t="s">
        <v>167</v>
      </c>
      <c r="AM7" s="6"/>
      <c r="AN7" s="6">
        <v>0</v>
      </c>
      <c r="AO7" s="6">
        <v>0</v>
      </c>
      <c r="AP7" s="6">
        <v>1</v>
      </c>
      <c r="AQ7" s="6">
        <v>1</v>
      </c>
      <c r="AR7" s="6"/>
      <c r="AS7" s="6">
        <v>0</v>
      </c>
      <c r="AT7" s="28" t="str">
        <f t="shared" si="0"/>
        <v>{s_taskTalk,{60046,60046}}</v>
      </c>
    </row>
    <row r="8" spans="1:46" s="3" customFormat="1" ht="165" customHeight="1">
      <c r="A8" s="4">
        <v>3801</v>
      </c>
      <c r="B8" s="6">
        <v>1291</v>
      </c>
      <c r="C8" s="6" t="s">
        <v>168</v>
      </c>
      <c r="D8" s="6">
        <v>1</v>
      </c>
      <c r="E8" s="6">
        <v>2</v>
      </c>
      <c r="F8" s="6">
        <v>21</v>
      </c>
      <c r="G8" s="6">
        <v>200</v>
      </c>
      <c r="H8" s="10">
        <v>3021</v>
      </c>
      <c r="I8" s="6">
        <v>0</v>
      </c>
      <c r="J8" s="7">
        <v>60015</v>
      </c>
      <c r="K8" s="7" t="s">
        <v>169</v>
      </c>
      <c r="L8" s="7">
        <v>60000</v>
      </c>
      <c r="M8" s="7" t="s">
        <v>170</v>
      </c>
      <c r="N8" s="7"/>
      <c r="O8" s="15"/>
      <c r="P8" s="15"/>
      <c r="Q8" s="15"/>
      <c r="R8" s="18"/>
      <c r="S8" s="6">
        <v>1</v>
      </c>
      <c r="T8" s="6">
        <v>1</v>
      </c>
      <c r="U8" s="19">
        <v>15</v>
      </c>
      <c r="V8" s="6"/>
      <c r="W8" s="6"/>
      <c r="X8" s="20">
        <v>1700</v>
      </c>
      <c r="Y8" s="6">
        <v>1</v>
      </c>
      <c r="Z8" s="24"/>
      <c r="AA8" s="24"/>
      <c r="AB8" s="19" t="s">
        <v>171</v>
      </c>
      <c r="AC8" s="6" t="s">
        <v>172</v>
      </c>
      <c r="AD8" s="25" t="s">
        <v>173</v>
      </c>
      <c r="AE8" s="25" t="s">
        <v>174</v>
      </c>
      <c r="AF8" s="25" t="s">
        <v>175</v>
      </c>
      <c r="AG8" s="25" t="s">
        <v>176</v>
      </c>
      <c r="AH8" s="25" t="s">
        <v>176</v>
      </c>
      <c r="AI8" s="6"/>
      <c r="AJ8" s="6">
        <v>0</v>
      </c>
      <c r="AK8" s="7" t="s">
        <v>177</v>
      </c>
      <c r="AL8" s="7" t="s">
        <v>178</v>
      </c>
      <c r="AM8" s="6"/>
      <c r="AN8" s="6">
        <v>1</v>
      </c>
      <c r="AO8" s="6">
        <v>0</v>
      </c>
      <c r="AP8" s="6">
        <v>1</v>
      </c>
      <c r="AQ8" s="6">
        <v>1</v>
      </c>
      <c r="AR8" s="6">
        <v>0</v>
      </c>
      <c r="AS8" s="29">
        <v>0</v>
      </c>
      <c r="AT8" s="28" t="str">
        <f t="shared" si="0"/>
        <v>{s_taskTalk,{60015,60000}}</v>
      </c>
    </row>
    <row r="9" spans="1:46" s="30" customFormat="1" ht="209.25" customHeight="1">
      <c r="A9" s="31">
        <v>4011</v>
      </c>
      <c r="B9" s="32"/>
      <c r="C9" s="32" t="s">
        <v>179</v>
      </c>
      <c r="D9" s="7">
        <v>1</v>
      </c>
      <c r="E9" s="7">
        <v>3</v>
      </c>
      <c r="F9" s="7">
        <v>26</v>
      </c>
      <c r="G9" s="7">
        <v>200</v>
      </c>
      <c r="H9" s="33">
        <v>3801</v>
      </c>
      <c r="I9" s="7">
        <v>0</v>
      </c>
      <c r="J9" s="14">
        <v>122</v>
      </c>
      <c r="K9" s="7" t="s">
        <v>180</v>
      </c>
      <c r="L9" s="32">
        <v>123</v>
      </c>
      <c r="M9" s="32" t="s">
        <v>181</v>
      </c>
      <c r="N9" s="32"/>
      <c r="O9" s="34"/>
      <c r="P9" s="34"/>
      <c r="Q9" s="34"/>
      <c r="R9" s="35"/>
      <c r="S9" s="32">
        <v>1</v>
      </c>
      <c r="T9" s="32">
        <v>0</v>
      </c>
      <c r="U9" s="19">
        <v>15</v>
      </c>
      <c r="V9" s="32"/>
      <c r="W9" s="32"/>
      <c r="X9" s="20">
        <v>6000</v>
      </c>
      <c r="Y9" s="32"/>
      <c r="Z9" s="24"/>
      <c r="AA9" s="36">
        <v>300</v>
      </c>
      <c r="AB9" s="32"/>
      <c r="AC9" s="32"/>
      <c r="AD9" s="37" t="s">
        <v>182</v>
      </c>
      <c r="AE9" s="37" t="s">
        <v>183</v>
      </c>
      <c r="AF9" s="37" t="s">
        <v>184</v>
      </c>
      <c r="AG9" s="38"/>
      <c r="AH9" s="38" t="s">
        <v>185</v>
      </c>
      <c r="AI9" s="32"/>
      <c r="AJ9" s="32">
        <v>0</v>
      </c>
      <c r="AK9" s="39" t="s">
        <v>186</v>
      </c>
      <c r="AL9" s="39" t="s">
        <v>187</v>
      </c>
      <c r="AM9" s="32"/>
      <c r="AN9" s="32">
        <v>1</v>
      </c>
      <c r="AO9" s="32">
        <v>0</v>
      </c>
      <c r="AP9" s="6">
        <v>1</v>
      </c>
      <c r="AQ9" s="6">
        <v>0</v>
      </c>
      <c r="AR9" s="32"/>
      <c r="AS9" s="29">
        <v>0</v>
      </c>
      <c r="AT9" s="28" t="str">
        <f t="shared" si="0"/>
        <v>{s_taskTalk,{122,123}}</v>
      </c>
    </row>
    <row r="10" spans="1:46" s="3" customFormat="1" ht="82.5" customHeight="1">
      <c r="A10" s="4">
        <v>3351</v>
      </c>
      <c r="B10" s="6">
        <v>1205</v>
      </c>
      <c r="C10" s="6" t="s">
        <v>188</v>
      </c>
      <c r="D10" s="6">
        <v>1</v>
      </c>
      <c r="E10" s="6">
        <v>2</v>
      </c>
      <c r="F10" s="6">
        <v>14</v>
      </c>
      <c r="G10" s="6">
        <v>200</v>
      </c>
      <c r="H10" s="6">
        <v>4011</v>
      </c>
      <c r="I10" s="6">
        <v>0</v>
      </c>
      <c r="J10" s="14">
        <v>60035</v>
      </c>
      <c r="K10" s="7" t="s">
        <v>189</v>
      </c>
      <c r="L10" s="7">
        <v>60035</v>
      </c>
      <c r="M10" s="7" t="s">
        <v>189</v>
      </c>
      <c r="N10" s="7"/>
      <c r="O10" s="15"/>
      <c r="P10" s="15"/>
      <c r="Q10" s="15"/>
      <c r="R10" s="18"/>
      <c r="S10" s="6">
        <v>10</v>
      </c>
      <c r="T10" s="6">
        <v>0</v>
      </c>
      <c r="U10" s="19">
        <v>5</v>
      </c>
      <c r="V10" s="6"/>
      <c r="W10" s="6"/>
      <c r="X10" s="20">
        <v>1803</v>
      </c>
      <c r="Y10" s="6"/>
      <c r="Z10" s="23"/>
      <c r="AA10" s="24"/>
      <c r="AC10" s="6"/>
      <c r="AD10" s="25" t="s">
        <v>190</v>
      </c>
      <c r="AE10" s="25" t="s">
        <v>191</v>
      </c>
      <c r="AF10" s="25" t="s">
        <v>192</v>
      </c>
      <c r="AG10" s="25" t="s">
        <v>193</v>
      </c>
      <c r="AH10" s="6" t="s">
        <v>194</v>
      </c>
      <c r="AI10" s="6"/>
      <c r="AJ10" s="6">
        <v>0</v>
      </c>
      <c r="AK10" s="7" t="s">
        <v>195</v>
      </c>
      <c r="AL10" s="7" t="s">
        <v>196</v>
      </c>
      <c r="AM10" s="6" t="s">
        <v>197</v>
      </c>
      <c r="AN10" s="6">
        <v>1</v>
      </c>
      <c r="AO10" s="6">
        <v>0</v>
      </c>
      <c r="AP10" s="6">
        <v>1</v>
      </c>
      <c r="AQ10" s="6">
        <v>0</v>
      </c>
      <c r="AR10" s="6"/>
      <c r="AS10" s="6">
        <v>0</v>
      </c>
      <c r="AT10" s="28" t="str">
        <f t="shared" si="0"/>
        <v>{s_taskTalk,{60035,60035}}</v>
      </c>
    </row>
    <row r="11" spans="1:46" s="3" customFormat="1" ht="201" customHeight="1">
      <c r="A11" s="4">
        <v>3074</v>
      </c>
      <c r="B11" s="7"/>
      <c r="C11" s="7" t="s">
        <v>198</v>
      </c>
      <c r="D11" s="7">
        <v>1</v>
      </c>
      <c r="E11" s="7">
        <v>1</v>
      </c>
      <c r="F11" s="7">
        <v>6</v>
      </c>
      <c r="G11" s="7">
        <v>200</v>
      </c>
      <c r="H11" s="6">
        <v>3351</v>
      </c>
      <c r="I11" s="6">
        <v>0</v>
      </c>
      <c r="J11" s="7">
        <v>60007</v>
      </c>
      <c r="K11" s="7" t="s">
        <v>199</v>
      </c>
      <c r="L11" s="7">
        <v>60007</v>
      </c>
      <c r="M11" s="7" t="s">
        <v>199</v>
      </c>
      <c r="N11" s="7"/>
      <c r="P11" s="15"/>
      <c r="Q11" s="15">
        <v>10103</v>
      </c>
      <c r="R11" s="18"/>
      <c r="S11" s="7">
        <v>4</v>
      </c>
      <c r="T11" s="7">
        <v>0</v>
      </c>
      <c r="U11" s="19">
        <v>5</v>
      </c>
      <c r="V11" s="7"/>
      <c r="W11" s="7"/>
      <c r="X11" s="20">
        <v>840</v>
      </c>
      <c r="Y11" s="7"/>
      <c r="Z11" s="23"/>
      <c r="AA11" s="24">
        <v>50</v>
      </c>
      <c r="AB11" s="7"/>
      <c r="AC11" s="7"/>
      <c r="AD11" s="26" t="s">
        <v>200</v>
      </c>
      <c r="AE11" s="26" t="s">
        <v>201</v>
      </c>
      <c r="AF11" s="26" t="s">
        <v>202</v>
      </c>
      <c r="AG11" s="26" t="s">
        <v>203</v>
      </c>
      <c r="AH11" s="26" t="s">
        <v>204</v>
      </c>
      <c r="AI11" s="7"/>
      <c r="AJ11" s="6">
        <v>0</v>
      </c>
      <c r="AK11" s="7" t="s">
        <v>205</v>
      </c>
      <c r="AL11" s="7" t="s">
        <v>206</v>
      </c>
      <c r="AM11" s="7"/>
      <c r="AN11" s="6">
        <v>1</v>
      </c>
      <c r="AO11" s="6">
        <v>0</v>
      </c>
      <c r="AP11" s="6">
        <v>1</v>
      </c>
      <c r="AQ11" s="6">
        <v>1</v>
      </c>
      <c r="AR11" s="7"/>
      <c r="AS11" s="6">
        <v>0</v>
      </c>
      <c r="AT11" s="28" t="str">
        <f>"{s_taskKillNpc, {"&amp;J11&amp;","&amp;L11&amp;","&amp;Q11&amp;","&amp;S11&amp;"}}"</f>
        <v>{s_taskKillNpc, {60007,60007,10103,4}}</v>
      </c>
    </row>
  </sheetData>
  <phoneticPr fontId="19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T13"/>
  <sheetViews>
    <sheetView workbookViewId="0">
      <pane ySplit="1" topLeftCell="A2" activePane="bottomLeft" state="frozen"/>
      <selection pane="bottomLeft" activeCell="AD6" sqref="AD6"/>
    </sheetView>
  </sheetViews>
  <sheetFormatPr defaultColWidth="9" defaultRowHeight="13.5"/>
  <cols>
    <col min="30" max="30" width="49.875" customWidth="1"/>
    <col min="31" max="31" width="14.375" customWidth="1"/>
    <col min="32" max="32" width="15.375" customWidth="1"/>
    <col min="37" max="37" width="51.5" customWidth="1"/>
    <col min="38" max="38" width="27.375" customWidth="1"/>
  </cols>
  <sheetData>
    <row r="1" spans="1:46" s="2" customFormat="1" ht="27">
      <c r="A1" s="4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11" t="s">
        <v>9</v>
      </c>
      <c r="K1" s="12" t="s">
        <v>10</v>
      </c>
      <c r="L1" s="12" t="s">
        <v>11</v>
      </c>
      <c r="M1" s="12" t="s">
        <v>12</v>
      </c>
      <c r="N1" s="12" t="s">
        <v>13</v>
      </c>
      <c r="O1" s="13" t="s">
        <v>14</v>
      </c>
      <c r="P1" s="13" t="s">
        <v>15</v>
      </c>
      <c r="Q1" s="13" t="s">
        <v>16</v>
      </c>
      <c r="R1" s="16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W1" s="5" t="s">
        <v>22</v>
      </c>
      <c r="X1" s="17" t="s">
        <v>23</v>
      </c>
      <c r="Y1" s="5" t="s">
        <v>24</v>
      </c>
      <c r="Z1" s="21" t="s">
        <v>25</v>
      </c>
      <c r="AA1" s="22" t="s">
        <v>26</v>
      </c>
      <c r="AB1" s="5" t="s">
        <v>27</v>
      </c>
      <c r="AC1" s="5" t="s">
        <v>28</v>
      </c>
      <c r="AD1" s="5" t="s">
        <v>29</v>
      </c>
      <c r="AE1" s="5" t="s">
        <v>30</v>
      </c>
      <c r="AF1" s="5" t="s">
        <v>31</v>
      </c>
      <c r="AG1" s="5" t="s">
        <v>32</v>
      </c>
      <c r="AH1" s="5" t="s">
        <v>33</v>
      </c>
      <c r="AI1" s="5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5" t="s">
        <v>40</v>
      </c>
      <c r="AP1" s="5" t="s">
        <v>41</v>
      </c>
      <c r="AQ1" s="5" t="s">
        <v>42</v>
      </c>
      <c r="AR1" s="5" t="s">
        <v>43</v>
      </c>
      <c r="AS1" s="5" t="s">
        <v>44</v>
      </c>
      <c r="AT1" s="2" t="s">
        <v>45</v>
      </c>
    </row>
    <row r="2" spans="1:46" s="3" customFormat="1" ht="105" customHeight="1">
      <c r="A2" s="4">
        <v>3001</v>
      </c>
      <c r="B2" s="6">
        <v>1007</v>
      </c>
      <c r="C2" s="6" t="s">
        <v>151</v>
      </c>
      <c r="D2" s="6">
        <v>1</v>
      </c>
      <c r="E2" s="6">
        <v>1</v>
      </c>
      <c r="F2" s="6">
        <v>1</v>
      </c>
      <c r="G2" s="6">
        <v>200</v>
      </c>
      <c r="H2" s="6">
        <v>0</v>
      </c>
      <c r="I2" s="6">
        <v>0</v>
      </c>
      <c r="J2" s="14">
        <v>60045</v>
      </c>
      <c r="K2" s="7" t="s">
        <v>48</v>
      </c>
      <c r="L2" s="7">
        <v>60045</v>
      </c>
      <c r="M2" s="7" t="s">
        <v>152</v>
      </c>
      <c r="N2" s="7"/>
      <c r="O2" s="15"/>
      <c r="P2" s="15"/>
      <c r="Q2" s="15"/>
      <c r="R2" s="18"/>
      <c r="S2" s="6">
        <v>1</v>
      </c>
      <c r="T2" s="6">
        <v>1</v>
      </c>
      <c r="U2" s="19">
        <v>5</v>
      </c>
      <c r="V2" s="6"/>
      <c r="W2" s="6"/>
      <c r="X2" s="20">
        <v>330</v>
      </c>
      <c r="Y2" s="6"/>
      <c r="Z2" s="23"/>
      <c r="AA2" s="24">
        <v>50</v>
      </c>
      <c r="AB2" s="6"/>
      <c r="AC2" s="6"/>
      <c r="AD2" s="25" t="s">
        <v>153</v>
      </c>
      <c r="AE2" s="25" t="s">
        <v>154</v>
      </c>
      <c r="AF2" s="25" t="s">
        <v>155</v>
      </c>
      <c r="AG2" s="25"/>
      <c r="AH2" s="25" t="s">
        <v>156</v>
      </c>
      <c r="AI2" s="6"/>
      <c r="AJ2" s="6"/>
      <c r="AK2" s="6" t="s">
        <v>157</v>
      </c>
      <c r="AL2" s="6" t="s">
        <v>158</v>
      </c>
      <c r="AM2" s="6"/>
      <c r="AN2" s="6">
        <v>1</v>
      </c>
      <c r="AO2" s="6">
        <v>0</v>
      </c>
      <c r="AP2" s="6">
        <v>1</v>
      </c>
      <c r="AQ2" s="6">
        <v>1</v>
      </c>
      <c r="AR2" s="6"/>
      <c r="AS2" s="6">
        <v>0</v>
      </c>
      <c r="AT2" s="28" t="str">
        <f t="shared" ref="AT2:AT9" si="0">"{s_taskTalk,{"&amp;J2&amp;","&amp;L2&amp;"}}"</f>
        <v>{s_taskTalk,{60045,60045}}</v>
      </c>
    </row>
    <row r="3" spans="1:46" s="3" customFormat="1" ht="105" customHeight="1">
      <c r="A3" s="4">
        <v>3011</v>
      </c>
      <c r="B3" s="6">
        <v>1008</v>
      </c>
      <c r="C3" s="6" t="s">
        <v>207</v>
      </c>
      <c r="D3" s="6">
        <v>1</v>
      </c>
      <c r="E3" s="6">
        <v>1</v>
      </c>
      <c r="F3" s="6">
        <v>1</v>
      </c>
      <c r="G3" s="6">
        <v>200</v>
      </c>
      <c r="H3" s="6">
        <v>3001</v>
      </c>
      <c r="I3" s="6">
        <v>0</v>
      </c>
      <c r="J3" s="14">
        <v>60045</v>
      </c>
      <c r="K3" s="7" t="s">
        <v>152</v>
      </c>
      <c r="L3" s="7">
        <v>60046</v>
      </c>
      <c r="M3" s="7" t="s">
        <v>160</v>
      </c>
      <c r="N3" s="7"/>
      <c r="O3" s="15"/>
      <c r="P3" s="15"/>
      <c r="Q3" s="15"/>
      <c r="R3" s="18"/>
      <c r="S3" s="6">
        <v>1</v>
      </c>
      <c r="T3" s="6">
        <v>1</v>
      </c>
      <c r="U3" s="19">
        <v>5</v>
      </c>
      <c r="V3" s="6"/>
      <c r="W3" s="6"/>
      <c r="X3" s="20">
        <v>330</v>
      </c>
      <c r="Y3" s="6"/>
      <c r="Z3" s="23"/>
      <c r="AA3" s="24">
        <v>50</v>
      </c>
      <c r="AB3" s="6"/>
      <c r="AC3" s="6"/>
      <c r="AD3" s="25" t="s">
        <v>208</v>
      </c>
      <c r="AE3" s="25" t="s">
        <v>209</v>
      </c>
      <c r="AF3" s="25" t="s">
        <v>210</v>
      </c>
      <c r="AG3" s="25"/>
      <c r="AH3" s="25" t="s">
        <v>211</v>
      </c>
      <c r="AI3" s="6"/>
      <c r="AJ3" s="6">
        <v>0</v>
      </c>
      <c r="AK3" s="6" t="s">
        <v>212</v>
      </c>
      <c r="AL3" s="6" t="s">
        <v>213</v>
      </c>
      <c r="AM3" s="6"/>
      <c r="AN3" s="6">
        <v>1</v>
      </c>
      <c r="AO3" s="6">
        <v>0</v>
      </c>
      <c r="AP3" s="6">
        <v>1</v>
      </c>
      <c r="AQ3" s="6">
        <v>1</v>
      </c>
      <c r="AR3" s="6"/>
      <c r="AS3" s="6">
        <v>0</v>
      </c>
      <c r="AT3" s="28" t="str">
        <f t="shared" si="0"/>
        <v>{s_taskTalk,{60045,60046}}</v>
      </c>
    </row>
    <row r="4" spans="1:46" s="3" customFormat="1" ht="105" customHeight="1">
      <c r="A4" s="4">
        <v>3021</v>
      </c>
      <c r="B4" s="6">
        <v>1009</v>
      </c>
      <c r="C4" s="6" t="s">
        <v>159</v>
      </c>
      <c r="D4" s="6">
        <v>1</v>
      </c>
      <c r="E4" s="6">
        <v>1</v>
      </c>
      <c r="F4" s="6">
        <v>1</v>
      </c>
      <c r="G4" s="6">
        <v>200</v>
      </c>
      <c r="H4" s="6">
        <v>3011</v>
      </c>
      <c r="I4" s="6">
        <v>0</v>
      </c>
      <c r="J4" s="14">
        <v>60046</v>
      </c>
      <c r="K4" s="7" t="s">
        <v>160</v>
      </c>
      <c r="L4" s="7">
        <v>60046</v>
      </c>
      <c r="M4" s="7" t="s">
        <v>160</v>
      </c>
      <c r="N4" s="7"/>
      <c r="O4" s="15">
        <v>60141</v>
      </c>
      <c r="P4" s="15"/>
      <c r="Q4" s="15"/>
      <c r="R4" s="18"/>
      <c r="S4" s="6">
        <v>1</v>
      </c>
      <c r="T4" s="6">
        <v>0</v>
      </c>
      <c r="U4" s="19">
        <v>5</v>
      </c>
      <c r="V4" s="6"/>
      <c r="W4" s="6"/>
      <c r="X4" s="20">
        <v>400</v>
      </c>
      <c r="Y4" s="6"/>
      <c r="Z4" s="23"/>
      <c r="AA4" s="24">
        <v>50</v>
      </c>
      <c r="AB4" s="6"/>
      <c r="AC4" s="6"/>
      <c r="AD4" s="25" t="s">
        <v>161</v>
      </c>
      <c r="AE4" s="25" t="s">
        <v>162</v>
      </c>
      <c r="AF4" s="25" t="s">
        <v>163</v>
      </c>
      <c r="AG4" s="25" t="s">
        <v>164</v>
      </c>
      <c r="AH4" s="25" t="s">
        <v>165</v>
      </c>
      <c r="AI4" s="6"/>
      <c r="AJ4" s="6">
        <v>0</v>
      </c>
      <c r="AK4" s="6" t="s">
        <v>166</v>
      </c>
      <c r="AL4" s="6" t="s">
        <v>167</v>
      </c>
      <c r="AM4" s="6"/>
      <c r="AN4" s="6">
        <v>1</v>
      </c>
      <c r="AO4" s="6">
        <v>0</v>
      </c>
      <c r="AP4" s="6">
        <v>1</v>
      </c>
      <c r="AQ4" s="6">
        <v>1</v>
      </c>
      <c r="AR4" s="6"/>
      <c r="AS4" s="6">
        <v>0</v>
      </c>
      <c r="AT4" s="28" t="str">
        <f t="shared" si="0"/>
        <v>{s_taskTalk,{60046,60046}}</v>
      </c>
    </row>
    <row r="5" spans="1:46" s="3" customFormat="1" ht="105" customHeight="1">
      <c r="A5" s="4">
        <v>6001</v>
      </c>
      <c r="B5" s="6">
        <v>1009</v>
      </c>
      <c r="C5" s="6" t="s">
        <v>159</v>
      </c>
      <c r="D5" s="6">
        <v>1</v>
      </c>
      <c r="E5" s="6">
        <v>1</v>
      </c>
      <c r="F5" s="6">
        <v>1</v>
      </c>
      <c r="G5" s="6">
        <v>200</v>
      </c>
      <c r="H5" s="6">
        <v>0</v>
      </c>
      <c r="I5" s="6">
        <v>0</v>
      </c>
      <c r="J5" s="14">
        <v>60046</v>
      </c>
      <c r="K5" s="7" t="s">
        <v>160</v>
      </c>
      <c r="L5" s="7">
        <v>60046</v>
      </c>
      <c r="M5" s="7" t="s">
        <v>160</v>
      </c>
      <c r="N5" s="7"/>
      <c r="O5" s="15">
        <v>60141</v>
      </c>
      <c r="P5" s="15"/>
      <c r="Q5" s="15"/>
      <c r="R5" s="18"/>
      <c r="S5" s="6">
        <v>1</v>
      </c>
      <c r="T5" s="6">
        <v>0</v>
      </c>
      <c r="U5" s="19">
        <v>5</v>
      </c>
      <c r="V5" s="6"/>
      <c r="W5" s="6"/>
      <c r="X5" s="20">
        <v>400</v>
      </c>
      <c r="Y5" s="6"/>
      <c r="Z5" s="23"/>
      <c r="AA5" s="24">
        <v>50</v>
      </c>
      <c r="AB5" s="6"/>
      <c r="AC5" s="6"/>
      <c r="AD5" s="25" t="s">
        <v>161</v>
      </c>
      <c r="AE5" s="25" t="s">
        <v>162</v>
      </c>
      <c r="AF5" s="25" t="s">
        <v>163</v>
      </c>
      <c r="AG5" s="25" t="s">
        <v>164</v>
      </c>
      <c r="AH5" s="25" t="s">
        <v>165</v>
      </c>
      <c r="AI5" s="6"/>
      <c r="AJ5" s="6">
        <v>0</v>
      </c>
      <c r="AK5" s="6" t="s">
        <v>166</v>
      </c>
      <c r="AL5" s="6" t="s">
        <v>167</v>
      </c>
      <c r="AM5" s="6"/>
      <c r="AN5" s="6">
        <v>0</v>
      </c>
      <c r="AO5" s="6">
        <v>0</v>
      </c>
      <c r="AP5" s="6">
        <v>1</v>
      </c>
      <c r="AQ5" s="6">
        <v>1</v>
      </c>
      <c r="AR5" s="6"/>
      <c r="AS5" s="6">
        <v>0</v>
      </c>
      <c r="AT5" s="28" t="str">
        <f t="shared" si="0"/>
        <v>{s_taskTalk,{60046,60046}}</v>
      </c>
    </row>
    <row r="6" spans="1:46" s="3" customFormat="1" ht="105" customHeight="1">
      <c r="A6" s="4">
        <v>6002</v>
      </c>
      <c r="B6" s="6">
        <v>1009</v>
      </c>
      <c r="C6" s="6" t="s">
        <v>159</v>
      </c>
      <c r="D6" s="6">
        <v>1</v>
      </c>
      <c r="E6" s="6">
        <v>1</v>
      </c>
      <c r="F6" s="6">
        <v>1</v>
      </c>
      <c r="G6" s="6">
        <v>200</v>
      </c>
      <c r="H6" s="6">
        <v>0</v>
      </c>
      <c r="I6" s="6">
        <v>0</v>
      </c>
      <c r="J6" s="14">
        <v>60046</v>
      </c>
      <c r="K6" s="7" t="s">
        <v>160</v>
      </c>
      <c r="L6" s="7">
        <v>60046</v>
      </c>
      <c r="M6" s="7" t="s">
        <v>160</v>
      </c>
      <c r="N6" s="7"/>
      <c r="O6" s="15">
        <v>60141</v>
      </c>
      <c r="P6" s="15"/>
      <c r="Q6" s="15"/>
      <c r="R6" s="18"/>
      <c r="S6" s="6">
        <v>1</v>
      </c>
      <c r="T6" s="6">
        <v>0</v>
      </c>
      <c r="U6" s="19">
        <v>5</v>
      </c>
      <c r="V6" s="6"/>
      <c r="W6" s="6"/>
      <c r="X6" s="20">
        <v>400</v>
      </c>
      <c r="Y6" s="6"/>
      <c r="Z6" s="23"/>
      <c r="AA6" s="24">
        <v>50</v>
      </c>
      <c r="AB6" s="6"/>
      <c r="AC6" s="6"/>
      <c r="AD6" s="25" t="s">
        <v>161</v>
      </c>
      <c r="AE6" s="25" t="s">
        <v>162</v>
      </c>
      <c r="AF6" s="25" t="s">
        <v>163</v>
      </c>
      <c r="AG6" s="25" t="s">
        <v>164</v>
      </c>
      <c r="AH6" s="25" t="s">
        <v>165</v>
      </c>
      <c r="AI6" s="6"/>
      <c r="AJ6" s="6">
        <v>0</v>
      </c>
      <c r="AK6" s="6" t="s">
        <v>166</v>
      </c>
      <c r="AL6" s="6" t="s">
        <v>167</v>
      </c>
      <c r="AM6" s="6"/>
      <c r="AN6" s="6">
        <v>0</v>
      </c>
      <c r="AO6" s="6">
        <v>0</v>
      </c>
      <c r="AP6" s="6">
        <v>1</v>
      </c>
      <c r="AQ6" s="6">
        <v>1</v>
      </c>
      <c r="AR6" s="6"/>
      <c r="AS6" s="6">
        <v>0</v>
      </c>
      <c r="AT6" s="28" t="str">
        <f t="shared" si="0"/>
        <v>{s_taskTalk,{60046,60046}}</v>
      </c>
    </row>
    <row r="7" spans="1:46" s="3" customFormat="1" ht="105" customHeight="1">
      <c r="A7" s="4">
        <v>6003</v>
      </c>
      <c r="B7" s="6">
        <v>1009</v>
      </c>
      <c r="C7" s="6" t="s">
        <v>159</v>
      </c>
      <c r="D7" s="6">
        <v>1</v>
      </c>
      <c r="E7" s="6">
        <v>1</v>
      </c>
      <c r="F7" s="6">
        <v>1</v>
      </c>
      <c r="G7" s="6">
        <v>200</v>
      </c>
      <c r="H7" s="6">
        <v>0</v>
      </c>
      <c r="I7" s="6">
        <v>0</v>
      </c>
      <c r="J7" s="14">
        <v>60046</v>
      </c>
      <c r="K7" s="7" t="s">
        <v>160</v>
      </c>
      <c r="L7" s="7">
        <v>60046</v>
      </c>
      <c r="M7" s="7" t="s">
        <v>160</v>
      </c>
      <c r="N7" s="7"/>
      <c r="O7" s="15">
        <v>60141</v>
      </c>
      <c r="P7" s="15"/>
      <c r="Q7" s="15"/>
      <c r="R7" s="18"/>
      <c r="S7" s="6">
        <v>1</v>
      </c>
      <c r="T7" s="6">
        <v>0</v>
      </c>
      <c r="U7" s="19">
        <v>5</v>
      </c>
      <c r="V7" s="6"/>
      <c r="W7" s="6"/>
      <c r="X7" s="20">
        <v>500</v>
      </c>
      <c r="Y7" s="6"/>
      <c r="Z7" s="23"/>
      <c r="AA7" s="24">
        <v>50</v>
      </c>
      <c r="AB7" s="6"/>
      <c r="AC7" s="6"/>
      <c r="AD7" s="25" t="s">
        <v>161</v>
      </c>
      <c r="AE7" s="25" t="s">
        <v>162</v>
      </c>
      <c r="AF7" s="25" t="s">
        <v>163</v>
      </c>
      <c r="AG7" s="25" t="s">
        <v>164</v>
      </c>
      <c r="AH7" s="25" t="s">
        <v>165</v>
      </c>
      <c r="AI7" s="6"/>
      <c r="AJ7" s="6">
        <v>0</v>
      </c>
      <c r="AK7" s="6" t="s">
        <v>166</v>
      </c>
      <c r="AL7" s="6" t="s">
        <v>167</v>
      </c>
      <c r="AM7" s="6"/>
      <c r="AN7" s="6">
        <v>0</v>
      </c>
      <c r="AO7" s="6">
        <v>0</v>
      </c>
      <c r="AP7" s="6">
        <v>1</v>
      </c>
      <c r="AQ7" s="6">
        <v>1</v>
      </c>
      <c r="AR7" s="6"/>
      <c r="AS7" s="6">
        <v>0</v>
      </c>
      <c r="AT7" s="28" t="str">
        <f t="shared" si="0"/>
        <v>{s_taskTalk,{60046,60046}}</v>
      </c>
    </row>
    <row r="8" spans="1:46" s="3" customFormat="1" ht="105" customHeight="1">
      <c r="A8" s="4">
        <v>6004</v>
      </c>
      <c r="B8" s="6">
        <v>1009</v>
      </c>
      <c r="C8" s="6" t="s">
        <v>159</v>
      </c>
      <c r="D8" s="6">
        <v>1</v>
      </c>
      <c r="E8" s="6">
        <v>1</v>
      </c>
      <c r="F8" s="6">
        <v>1</v>
      </c>
      <c r="G8" s="6">
        <v>200</v>
      </c>
      <c r="H8" s="6">
        <v>0</v>
      </c>
      <c r="I8" s="6">
        <v>0</v>
      </c>
      <c r="J8" s="14">
        <v>60046</v>
      </c>
      <c r="K8" s="7" t="s">
        <v>160</v>
      </c>
      <c r="L8" s="7">
        <v>60046</v>
      </c>
      <c r="M8" s="7" t="s">
        <v>160</v>
      </c>
      <c r="N8" s="7"/>
      <c r="O8" s="15">
        <v>60141</v>
      </c>
      <c r="P8" s="15"/>
      <c r="Q8" s="15"/>
      <c r="R8" s="18"/>
      <c r="S8" s="6">
        <v>1</v>
      </c>
      <c r="T8" s="6">
        <v>0</v>
      </c>
      <c r="U8" s="19">
        <v>5</v>
      </c>
      <c r="V8" s="6"/>
      <c r="W8" s="6"/>
      <c r="X8" s="20">
        <v>500</v>
      </c>
      <c r="Y8" s="6"/>
      <c r="Z8" s="23"/>
      <c r="AA8" s="24">
        <v>50</v>
      </c>
      <c r="AB8" s="6"/>
      <c r="AC8" s="6"/>
      <c r="AD8" s="25" t="s">
        <v>161</v>
      </c>
      <c r="AE8" s="25" t="s">
        <v>162</v>
      </c>
      <c r="AF8" s="25" t="s">
        <v>163</v>
      </c>
      <c r="AG8" s="25" t="s">
        <v>164</v>
      </c>
      <c r="AH8" s="25" t="s">
        <v>165</v>
      </c>
      <c r="AI8" s="6"/>
      <c r="AJ8" s="6">
        <v>0</v>
      </c>
      <c r="AK8" s="6" t="s">
        <v>166</v>
      </c>
      <c r="AL8" s="6" t="s">
        <v>167</v>
      </c>
      <c r="AM8" s="6"/>
      <c r="AN8" s="6">
        <v>0</v>
      </c>
      <c r="AO8" s="6">
        <v>0</v>
      </c>
      <c r="AP8" s="6">
        <v>1</v>
      </c>
      <c r="AQ8" s="6">
        <v>1</v>
      </c>
      <c r="AR8" s="6"/>
      <c r="AS8" s="6">
        <v>0</v>
      </c>
      <c r="AT8" s="28" t="str">
        <f t="shared" si="0"/>
        <v>{s_taskTalk,{60046,60046}}</v>
      </c>
    </row>
    <row r="9" spans="1:46" s="3" customFormat="1" ht="105" customHeight="1">
      <c r="A9" s="4">
        <v>3031</v>
      </c>
      <c r="B9" s="7">
        <v>1011</v>
      </c>
      <c r="C9" s="7" t="s">
        <v>214</v>
      </c>
      <c r="D9" s="7">
        <v>1</v>
      </c>
      <c r="E9" s="7">
        <v>1</v>
      </c>
      <c r="F9" s="6">
        <v>1</v>
      </c>
      <c r="G9" s="7">
        <v>200</v>
      </c>
      <c r="H9" s="6">
        <v>3021</v>
      </c>
      <c r="I9" s="6">
        <v>0</v>
      </c>
      <c r="J9" s="7">
        <v>60046</v>
      </c>
      <c r="K9" s="7" t="s">
        <v>160</v>
      </c>
      <c r="L9" s="7">
        <v>60005</v>
      </c>
      <c r="M9" s="7" t="s">
        <v>215</v>
      </c>
      <c r="N9" s="7"/>
      <c r="O9" s="15"/>
      <c r="P9" s="15"/>
      <c r="Q9" s="15"/>
      <c r="R9" s="18"/>
      <c r="S9" s="7">
        <v>1</v>
      </c>
      <c r="T9" s="7">
        <v>1</v>
      </c>
      <c r="U9" s="19">
        <v>5</v>
      </c>
      <c r="V9" s="7"/>
      <c r="W9" s="7"/>
      <c r="X9" s="20">
        <v>500</v>
      </c>
      <c r="Y9" s="7"/>
      <c r="Z9" s="23"/>
      <c r="AA9" s="24">
        <v>50</v>
      </c>
      <c r="AB9" s="7"/>
      <c r="AC9" s="7"/>
      <c r="AD9" s="26" t="s">
        <v>216</v>
      </c>
      <c r="AE9" s="26" t="s">
        <v>217</v>
      </c>
      <c r="AF9" s="26" t="s">
        <v>218</v>
      </c>
      <c r="AG9" s="26" t="s">
        <v>219</v>
      </c>
      <c r="AH9" s="25" t="s">
        <v>220</v>
      </c>
      <c r="AI9" s="7" t="s">
        <v>221</v>
      </c>
      <c r="AJ9" s="6">
        <v>0</v>
      </c>
      <c r="AK9" s="7" t="s">
        <v>222</v>
      </c>
      <c r="AL9" s="7" t="s">
        <v>223</v>
      </c>
      <c r="AM9" s="7"/>
      <c r="AN9" s="6">
        <v>1</v>
      </c>
      <c r="AO9" s="6">
        <v>0</v>
      </c>
      <c r="AP9" s="6">
        <v>1</v>
      </c>
      <c r="AQ9" s="6">
        <v>1</v>
      </c>
      <c r="AR9" s="7"/>
      <c r="AS9" s="6">
        <v>0</v>
      </c>
      <c r="AT9" s="28" t="str">
        <f t="shared" si="0"/>
        <v>{s_taskTalk,{60046,60005}}</v>
      </c>
    </row>
    <row r="10" spans="1:46" s="3" customFormat="1" ht="105" customHeight="1">
      <c r="A10" s="4">
        <v>3041</v>
      </c>
      <c r="B10" s="7">
        <v>1012</v>
      </c>
      <c r="C10" s="7" t="s">
        <v>224</v>
      </c>
      <c r="D10" s="7">
        <v>1</v>
      </c>
      <c r="E10" s="7">
        <v>1</v>
      </c>
      <c r="F10" s="6">
        <v>1</v>
      </c>
      <c r="G10" s="7">
        <v>200</v>
      </c>
      <c r="H10" s="6">
        <v>3031</v>
      </c>
      <c r="I10" s="6">
        <v>0</v>
      </c>
      <c r="J10" s="7">
        <v>60005</v>
      </c>
      <c r="K10" s="7" t="s">
        <v>215</v>
      </c>
      <c r="L10" s="14">
        <v>60029</v>
      </c>
      <c r="M10" s="7" t="s">
        <v>225</v>
      </c>
      <c r="N10" s="7"/>
      <c r="O10" s="15"/>
      <c r="P10" s="15"/>
      <c r="Q10" s="15">
        <v>10104</v>
      </c>
      <c r="R10" s="18"/>
      <c r="S10" s="7">
        <v>3</v>
      </c>
      <c r="T10" s="7">
        <v>0</v>
      </c>
      <c r="U10" s="19">
        <v>5</v>
      </c>
      <c r="V10" s="7"/>
      <c r="W10" s="7"/>
      <c r="X10" s="20">
        <v>1700</v>
      </c>
      <c r="Y10" s="7"/>
      <c r="Z10" s="23"/>
      <c r="AA10" s="24">
        <v>50</v>
      </c>
      <c r="AB10" s="15" t="s">
        <v>226</v>
      </c>
      <c r="AC10" s="7"/>
      <c r="AD10" s="26" t="s">
        <v>227</v>
      </c>
      <c r="AE10" s="26" t="s">
        <v>228</v>
      </c>
      <c r="AF10" s="26" t="s">
        <v>229</v>
      </c>
      <c r="AG10" s="26"/>
      <c r="AH10" s="25" t="s">
        <v>230</v>
      </c>
      <c r="AI10" s="7"/>
      <c r="AJ10" s="6">
        <v>0</v>
      </c>
      <c r="AK10" s="7" t="s">
        <v>231</v>
      </c>
      <c r="AL10" s="7" t="s">
        <v>232</v>
      </c>
      <c r="AM10" s="7"/>
      <c r="AN10" s="6">
        <v>1</v>
      </c>
      <c r="AO10" s="6">
        <v>0</v>
      </c>
      <c r="AP10" s="6">
        <v>1</v>
      </c>
      <c r="AQ10" s="6">
        <v>1</v>
      </c>
      <c r="AR10" s="7"/>
      <c r="AS10" s="6">
        <v>0</v>
      </c>
      <c r="AT10" s="28" t="str">
        <f>"{s_taskKillNpc, {"&amp;J10&amp;","&amp;L10&amp;","&amp;Q10&amp;","&amp;S10&amp;"}}"</f>
        <v>{s_taskKillNpc, {60005,60029,10104,3}}</v>
      </c>
    </row>
    <row r="11" spans="1:46" s="3" customFormat="1" ht="165" customHeight="1">
      <c r="A11" s="4">
        <v>3801</v>
      </c>
      <c r="B11" s="6">
        <v>1291</v>
      </c>
      <c r="C11" s="6" t="s">
        <v>168</v>
      </c>
      <c r="D11" s="6">
        <v>1</v>
      </c>
      <c r="E11" s="6">
        <v>2</v>
      </c>
      <c r="F11" s="6">
        <v>1</v>
      </c>
      <c r="G11" s="6">
        <v>200</v>
      </c>
      <c r="H11" s="8">
        <v>3041</v>
      </c>
      <c r="I11" s="6">
        <v>0</v>
      </c>
      <c r="J11" s="14">
        <v>60029</v>
      </c>
      <c r="K11" s="7" t="s">
        <v>225</v>
      </c>
      <c r="L11" s="14">
        <v>60017</v>
      </c>
      <c r="M11" s="7" t="s">
        <v>233</v>
      </c>
      <c r="N11" s="7"/>
      <c r="O11" s="15"/>
      <c r="P11" s="15"/>
      <c r="Q11" s="15"/>
      <c r="R11" s="18"/>
      <c r="S11" s="6">
        <v>1</v>
      </c>
      <c r="T11" s="6">
        <v>1</v>
      </c>
      <c r="U11" s="19">
        <v>15</v>
      </c>
      <c r="V11" s="6"/>
      <c r="W11" s="6"/>
      <c r="X11" s="20">
        <v>6000</v>
      </c>
      <c r="Y11" s="6">
        <v>1</v>
      </c>
      <c r="Z11" s="24"/>
      <c r="AA11" s="24">
        <v>50</v>
      </c>
      <c r="AB11" s="19" t="s">
        <v>171</v>
      </c>
      <c r="AC11" s="6" t="s">
        <v>172</v>
      </c>
      <c r="AD11" s="25" t="s">
        <v>234</v>
      </c>
      <c r="AE11" s="25" t="s">
        <v>235</v>
      </c>
      <c r="AF11" s="25" t="s">
        <v>175</v>
      </c>
      <c r="AG11" s="25" t="s">
        <v>176</v>
      </c>
      <c r="AH11" s="25" t="s">
        <v>176</v>
      </c>
      <c r="AI11" s="6"/>
      <c r="AJ11" s="6">
        <v>0</v>
      </c>
      <c r="AK11" s="7" t="s">
        <v>236</v>
      </c>
      <c r="AL11" s="7" t="s">
        <v>237</v>
      </c>
      <c r="AM11" s="6"/>
      <c r="AN11" s="6">
        <v>1</v>
      </c>
      <c r="AO11" s="6">
        <v>0</v>
      </c>
      <c r="AP11" s="6">
        <v>1</v>
      </c>
      <c r="AQ11" s="6">
        <v>1</v>
      </c>
      <c r="AR11" s="6">
        <v>0</v>
      </c>
      <c r="AS11" s="29">
        <v>0</v>
      </c>
      <c r="AT11" s="28" t="str">
        <f>"{s_taskTalk,{"&amp;J11&amp;","&amp;L11&amp;"}}"</f>
        <v>{s_taskTalk,{60029,60017}}</v>
      </c>
    </row>
    <row r="12" spans="1:46" s="3" customFormat="1" ht="18.75">
      <c r="A12" s="4"/>
      <c r="B12" s="6"/>
      <c r="C12" s="6"/>
      <c r="D12" s="6"/>
      <c r="E12" s="6"/>
      <c r="F12" s="6"/>
      <c r="G12" s="6"/>
      <c r="H12" s="6"/>
      <c r="I12" s="6"/>
      <c r="J12" s="14"/>
      <c r="K12" s="7"/>
      <c r="L12" s="7"/>
      <c r="M12" s="7"/>
      <c r="N12" s="7"/>
      <c r="O12" s="15"/>
      <c r="P12" s="15"/>
      <c r="Q12" s="15"/>
      <c r="R12" s="18"/>
      <c r="S12" s="6"/>
      <c r="T12" s="6"/>
      <c r="U12" s="19"/>
      <c r="V12" s="6"/>
      <c r="W12" s="6"/>
      <c r="X12" s="20"/>
      <c r="Y12" s="6"/>
      <c r="Z12" s="23"/>
      <c r="AA12" s="27"/>
      <c r="AB12" s="19"/>
      <c r="AC12" s="6"/>
      <c r="AD12" s="25"/>
      <c r="AE12" s="25"/>
      <c r="AF12" s="25"/>
      <c r="AG12" s="25"/>
      <c r="AH12" s="6"/>
      <c r="AI12" s="6"/>
      <c r="AJ12" s="6"/>
      <c r="AK12" s="7"/>
      <c r="AL12" s="7"/>
      <c r="AM12" s="6"/>
      <c r="AN12" s="6"/>
      <c r="AO12" s="6"/>
      <c r="AP12" s="6"/>
      <c r="AQ12" s="6"/>
      <c r="AR12" s="6"/>
      <c r="AS12" s="6"/>
      <c r="AT12" s="28"/>
    </row>
    <row r="13" spans="1:46" s="3" customFormat="1" ht="147" customHeight="1">
      <c r="A13" s="9"/>
      <c r="B13" s="6"/>
      <c r="C13" s="6"/>
      <c r="D13" s="6"/>
      <c r="E13" s="6"/>
      <c r="F13" s="6"/>
      <c r="G13" s="6"/>
      <c r="H13" s="10"/>
      <c r="I13" s="6"/>
      <c r="J13" s="14"/>
      <c r="K13" s="7"/>
      <c r="L13" s="7"/>
      <c r="M13" s="7"/>
      <c r="N13" s="7"/>
      <c r="O13" s="15"/>
      <c r="P13" s="15"/>
      <c r="Q13" s="15"/>
      <c r="R13" s="18"/>
      <c r="S13" s="6"/>
      <c r="T13" s="6"/>
      <c r="U13" s="19"/>
      <c r="V13" s="6"/>
      <c r="W13" s="6"/>
      <c r="X13" s="20"/>
      <c r="Y13" s="6"/>
      <c r="Z13" s="23"/>
      <c r="AA13" s="24"/>
      <c r="AB13" s="19"/>
      <c r="AC13" s="6"/>
      <c r="AD13" s="25"/>
      <c r="AE13" s="25"/>
      <c r="AF13" s="25"/>
      <c r="AG13" s="25"/>
      <c r="AH13" s="25"/>
      <c r="AI13" s="6"/>
      <c r="AJ13" s="6"/>
      <c r="AK13" s="7"/>
      <c r="AL13" s="7"/>
      <c r="AM13" s="6"/>
      <c r="AN13" s="6"/>
      <c r="AO13" s="6"/>
      <c r="AP13" s="6"/>
      <c r="AQ13" s="6"/>
      <c r="AR13" s="6"/>
      <c r="AS13" s="29"/>
      <c r="AT13" s="28"/>
    </row>
  </sheetData>
  <phoneticPr fontId="19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ColWidth="9" defaultRowHeight="13.5"/>
  <sheetData>
    <row r="1" spans="1:1">
      <c r="A1" s="1"/>
    </row>
  </sheetData>
  <phoneticPr fontId="1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Sheet1</vt:lpstr>
      <vt:lpstr>字段说明</vt:lpstr>
      <vt:lpstr>文本格式说明</vt:lpstr>
      <vt:lpstr>经验</vt:lpstr>
      <vt:lpstr>Sheet2</vt:lpstr>
      <vt:lpstr>测试功能</vt:lpstr>
      <vt:lpstr>0917测试第二版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2006-09-13T11:21:00Z</dcterms:created>
  <dcterms:modified xsi:type="dcterms:W3CDTF">2016-07-25T08:11:38Z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mExcelLinker_FA1F8535_D8F5_4B54_A31A_A496410B3102">
    <vt:lpwstr>627</vt:lpwstr>
  </property>
  <property fmtid="{D5CDD505-2E9C-101B-9397-08002B2CF9AE}" pid="3" name="KSOProductBuildVer">
    <vt:lpwstr>2052-10.1.0.5740</vt:lpwstr>
  </property>
</Properties>
</file>