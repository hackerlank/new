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opath\BWM\BWMClient5.Android\Design.Config\table\"/>
    </mc:Choice>
  </mc:AlternateContent>
  <bookViews>
    <workbookView xWindow="0" yWindow="-20" windowWidth="14790" windowHeight="12570"/>
  </bookViews>
  <sheets>
    <sheet name="Sheet1" sheetId="1" r:id="rId1"/>
    <sheet name="字段说明" sheetId="2" r:id="rId2"/>
    <sheet name="Sheet3" sheetId="3" r:id="rId3"/>
  </sheets>
  <definedNames>
    <definedName name="白装引用表">字段说明!$F$17:$F$31</definedName>
    <definedName name="基础属性表">字段说明!$A$2:$C$151</definedName>
    <definedName name="职业武器属性表">字段说明!$F$37:$G$43</definedName>
  </definedNames>
  <calcPr calcId="152511"/>
</workbook>
</file>

<file path=xl/calcChain.xml><?xml version="1.0" encoding="utf-8"?>
<calcChain xmlns="http://schemas.openxmlformats.org/spreadsheetml/2006/main">
  <c r="I284" i="1" l="1"/>
  <c r="I285" i="1"/>
  <c r="I286" i="1"/>
  <c r="I287" i="1"/>
  <c r="I288" i="1"/>
  <c r="I289" i="1"/>
  <c r="I290" i="1"/>
  <c r="I291" i="1"/>
  <c r="I292" i="1"/>
  <c r="H299" i="1"/>
  <c r="H300" i="1"/>
  <c r="H301" i="1"/>
  <c r="H302" i="1"/>
  <c r="H303" i="1"/>
  <c r="H304" i="1"/>
  <c r="H305" i="1"/>
  <c r="H306" i="1"/>
  <c r="H307" i="1"/>
  <c r="I314" i="1"/>
  <c r="I315" i="1"/>
  <c r="I316" i="1"/>
  <c r="I317" i="1"/>
  <c r="I318" i="1"/>
  <c r="I319" i="1"/>
  <c r="I320" i="1"/>
  <c r="I321" i="1"/>
  <c r="I322" i="1"/>
  <c r="H329" i="1"/>
  <c r="H330" i="1"/>
  <c r="H331" i="1"/>
  <c r="H332" i="1"/>
  <c r="H333" i="1"/>
  <c r="H334" i="1"/>
  <c r="H335" i="1"/>
  <c r="H336" i="1"/>
  <c r="H337" i="1"/>
  <c r="I344" i="1"/>
  <c r="I345" i="1"/>
  <c r="I346" i="1"/>
  <c r="I347" i="1"/>
  <c r="I348" i="1"/>
  <c r="I349" i="1"/>
  <c r="I350" i="1"/>
  <c r="I351" i="1"/>
  <c r="I352" i="1"/>
  <c r="H359" i="1"/>
  <c r="H360" i="1"/>
  <c r="H361" i="1"/>
  <c r="H362" i="1"/>
  <c r="H363" i="1"/>
  <c r="H364" i="1"/>
  <c r="H365" i="1"/>
  <c r="H366" i="1"/>
  <c r="H367" i="1"/>
  <c r="I374" i="1"/>
  <c r="I375" i="1"/>
  <c r="I376" i="1"/>
  <c r="I377" i="1"/>
  <c r="I378" i="1"/>
  <c r="I379" i="1"/>
  <c r="I380" i="1"/>
  <c r="I381" i="1"/>
  <c r="I382" i="1"/>
  <c r="H389" i="1"/>
  <c r="H390" i="1"/>
  <c r="H391" i="1"/>
  <c r="H392" i="1"/>
  <c r="H393" i="1"/>
  <c r="H394" i="1"/>
  <c r="H395" i="1"/>
  <c r="H396" i="1"/>
  <c r="H397" i="1"/>
  <c r="I404" i="1"/>
  <c r="I405" i="1"/>
  <c r="I406" i="1"/>
  <c r="I407" i="1"/>
  <c r="I408" i="1"/>
  <c r="I409" i="1"/>
  <c r="I410" i="1"/>
  <c r="I411" i="1"/>
  <c r="I412" i="1"/>
  <c r="H419" i="1"/>
  <c r="H420" i="1"/>
  <c r="H421" i="1"/>
  <c r="H422" i="1"/>
  <c r="H423" i="1"/>
  <c r="H424" i="1"/>
  <c r="H425" i="1"/>
  <c r="H426" i="1"/>
  <c r="H427" i="1"/>
  <c r="H19" i="2" l="1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18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</calcChain>
</file>

<file path=xl/sharedStrings.xml><?xml version="1.0" encoding="utf-8"?>
<sst xmlns="http://schemas.openxmlformats.org/spreadsheetml/2006/main" count="2028" uniqueCount="87">
  <si>
    <t>生命值上限</t>
  </si>
  <si>
    <t>物理命中</t>
    <phoneticPr fontId="2" type="noConversion"/>
  </si>
  <si>
    <t>化学命中</t>
    <phoneticPr fontId="2" type="noConversion"/>
  </si>
  <si>
    <t>物理攻击</t>
    <phoneticPr fontId="2" type="noConversion"/>
  </si>
  <si>
    <t>化学攻击</t>
    <phoneticPr fontId="2" type="noConversion"/>
  </si>
  <si>
    <t>物理防御</t>
    <phoneticPr fontId="2" type="noConversion"/>
  </si>
  <si>
    <t>化学防御</t>
    <phoneticPr fontId="2" type="noConversion"/>
  </si>
  <si>
    <t>道具ID</t>
    <phoneticPr fontId="2" type="noConversion"/>
  </si>
  <si>
    <t>装备耐久</t>
    <phoneticPr fontId="2" type="noConversion"/>
  </si>
  <si>
    <t>需要材料</t>
    <phoneticPr fontId="2" type="noConversion"/>
  </si>
  <si>
    <t>道具ID</t>
  </si>
  <si>
    <t>装备耐久</t>
  </si>
  <si>
    <t>物理攻击</t>
  </si>
  <si>
    <t>化学攻击</t>
  </si>
  <si>
    <t>物理命中</t>
  </si>
  <si>
    <t>化学命中</t>
  </si>
  <si>
    <t>物理防御</t>
  </si>
  <si>
    <t>化学防御</t>
  </si>
  <si>
    <t>对应道具基本表ID</t>
    <phoneticPr fontId="2" type="noConversion"/>
  </si>
  <si>
    <t>装备的耐久为区间值，其他道具仍读道具基本表</t>
    <phoneticPr fontId="2" type="noConversion"/>
  </si>
  <si>
    <t>鉴定概率</t>
    <phoneticPr fontId="2" type="noConversion"/>
  </si>
  <si>
    <t>鉴定概率</t>
    <phoneticPr fontId="2" type="noConversion"/>
  </si>
  <si>
    <t>装备改造需要的材料(升级材料-打孔材料-幸运宝石-改造材料-调色石)</t>
    <phoneticPr fontId="2" type="noConversion"/>
  </si>
  <si>
    <t>物防附加</t>
    <phoneticPr fontId="2" type="noConversion"/>
  </si>
  <si>
    <t>化防附加</t>
    <phoneticPr fontId="2" type="noConversion"/>
  </si>
  <si>
    <t>生命值附加</t>
    <phoneticPr fontId="2" type="noConversion"/>
  </si>
  <si>
    <t>物攻附加</t>
  </si>
  <si>
    <t>化攻附加</t>
  </si>
  <si>
    <t>不同品质鉴定的概率(白装-蓝装-黄装-绿装-若是白装爆掉几率),10000</t>
    <phoneticPr fontId="2" type="noConversion"/>
  </si>
  <si>
    <t>物化比例</t>
    <phoneticPr fontId="2" type="noConversion"/>
  </si>
  <si>
    <t>物防</t>
    <phoneticPr fontId="2" type="noConversion"/>
  </si>
  <si>
    <t>化防</t>
    <phoneticPr fontId="2" type="noConversion"/>
  </si>
  <si>
    <t>等级段</t>
    <phoneticPr fontId="2" type="noConversion"/>
  </si>
  <si>
    <t>是否可骑乘攻击</t>
    <phoneticPr fontId="2" type="noConversion"/>
  </si>
  <si>
    <t>热能防御</t>
  </si>
  <si>
    <t>光波防御</t>
  </si>
  <si>
    <t>声波防御</t>
  </si>
  <si>
    <t>生化防御</t>
  </si>
  <si>
    <t>热能攻击</t>
  </si>
  <si>
    <t>光波攻击</t>
  </si>
  <si>
    <t>声波攻击</t>
  </si>
  <si>
    <t>生化攻击</t>
  </si>
  <si>
    <t>化攻提升</t>
  </si>
  <si>
    <t>物防提升</t>
  </si>
  <si>
    <t>化防提升</t>
  </si>
  <si>
    <t>生命值提升</t>
  </si>
  <si>
    <t>物攻提升</t>
  </si>
  <si>
    <t>抗冰冻</t>
    <phoneticPr fontId="2" type="noConversion"/>
  </si>
  <si>
    <t>抗静默</t>
    <phoneticPr fontId="2" type="noConversion"/>
  </si>
  <si>
    <t>抗变形</t>
    <phoneticPr fontId="2" type="noConversion"/>
  </si>
  <si>
    <t>抗眩晕</t>
    <phoneticPr fontId="2" type="noConversion"/>
  </si>
  <si>
    <t>抗减速</t>
    <phoneticPr fontId="2" type="noConversion"/>
  </si>
  <si>
    <t>职业</t>
    <phoneticPr fontId="2" type="noConversion"/>
  </si>
  <si>
    <t>白装攻击</t>
    <phoneticPr fontId="2" type="noConversion"/>
  </si>
  <si>
    <t>装备类型</t>
    <phoneticPr fontId="2" type="noConversion"/>
  </si>
  <si>
    <t>其他属性</t>
    <phoneticPr fontId="2" type="noConversion"/>
  </si>
  <si>
    <t>项链</t>
    <phoneticPr fontId="2" type="noConversion"/>
  </si>
  <si>
    <t>勋章</t>
    <phoneticPr fontId="2" type="noConversion"/>
  </si>
  <si>
    <t>戒指</t>
    <phoneticPr fontId="2" type="noConversion"/>
  </si>
  <si>
    <t>护甲</t>
    <phoneticPr fontId="2" type="noConversion"/>
  </si>
  <si>
    <t>护腕</t>
    <phoneticPr fontId="2" type="noConversion"/>
  </si>
  <si>
    <t>头盔</t>
    <phoneticPr fontId="2" type="noConversion"/>
  </si>
  <si>
    <t>战靴</t>
    <phoneticPr fontId="2" type="noConversion"/>
  </si>
  <si>
    <t>腰带</t>
    <phoneticPr fontId="2" type="noConversion"/>
  </si>
  <si>
    <t>衬衣</t>
    <phoneticPr fontId="2" type="noConversion"/>
  </si>
  <si>
    <t>护甲生命</t>
    <phoneticPr fontId="2" type="noConversion"/>
  </si>
  <si>
    <t>物防</t>
    <phoneticPr fontId="2" type="noConversion"/>
  </si>
  <si>
    <t>魔防</t>
    <phoneticPr fontId="2" type="noConversion"/>
  </si>
  <si>
    <t>生命</t>
    <phoneticPr fontId="2" type="noConversion"/>
  </si>
  <si>
    <t>反伤减免</t>
    <phoneticPr fontId="2" type="noConversion"/>
  </si>
  <si>
    <t>武器攻击</t>
    <phoneticPr fontId="2" type="noConversion"/>
  </si>
  <si>
    <t>武器命中</t>
    <phoneticPr fontId="2" type="noConversion"/>
  </si>
  <si>
    <t>攻击</t>
    <phoneticPr fontId="2" type="noConversion"/>
  </si>
  <si>
    <t>2000-3500</t>
  </si>
  <si>
    <t>27107-27110-26101-26104-26106</t>
  </si>
  <si>
    <t>5700-3000-1000-300</t>
  </si>
  <si>
    <t>5700-3300-800-200</t>
  </si>
  <si>
    <t>5750-3400-700-150</t>
  </si>
  <si>
    <t>5800-3500-600-100</t>
  </si>
  <si>
    <t>2500-4000</t>
  </si>
  <si>
    <t>27108-27110-26102-26104-26106</t>
  </si>
  <si>
    <t>5830-3600-500-70</t>
  </si>
  <si>
    <t>5950-3600-400-50</t>
  </si>
  <si>
    <t>0-0-26101-0-0</t>
  </si>
  <si>
    <t>0-0-26103-0-0</t>
  </si>
  <si>
    <t>0-0-0-0-0</t>
  </si>
  <si>
    <t>10000-0-0-0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</si>
</sst>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2"/>
      <name val="宋体"/>
      <family val="3"/>
      <charset val="134"/>
    </font>
    <font>
      <sz val="10.5"/>
      <color rgb="FFFFFFFF"/>
      <name val="宋体"/>
      <family val="3"/>
      <charset val="134"/>
    </font>
    <font>
      <sz val="10.5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D2EAF1"/>
        <bgColor indexed="64"/>
      </patternFill>
    </fill>
  </fills>
  <borders count="3">
    <border>
      <left/>
      <right/>
      <top/>
      <bottom/>
      <diagonal/>
    </border>
    <border>
      <left style="medium">
        <color rgb="FF78C0D4"/>
      </left>
      <right style="medium">
        <color rgb="FF78C0D4"/>
      </right>
      <top style="medium">
        <color rgb="FF78C0D4"/>
      </top>
      <bottom style="medium">
        <color rgb="FF78C0D4"/>
      </bottom>
      <diagonal/>
    </border>
    <border>
      <left style="medium">
        <color rgb="FF78C0D4"/>
      </left>
      <right style="medium">
        <color rgb="FF78C0D4"/>
      </right>
      <top/>
      <bottom style="medium">
        <color rgb="FF78C0D4"/>
      </bottom>
      <diagonal/>
    </border>
  </borders>
  <cellStyleXfs count="3189">
    <xf numFmtId="0" fontId="0" fillId="0" borderId="0"/>
    <xf numFmtId="0" fontId="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15">
    <xf numFmtId="0" fontId="0" fillId="0" borderId="0" xfId="0"/>
    <xf numFmtId="0" fontId="3" fillId="0" borderId="0" xfId="0" applyFont="1"/>
    <xf numFmtId="0" fontId="4" fillId="0" borderId="0" xfId="0" applyFont="1"/>
    <xf numFmtId="0" fontId="0" fillId="0" borderId="0" xfId="0" applyFill="1"/>
    <xf numFmtId="0" fontId="0" fillId="2" borderId="0" xfId="0" applyFill="1"/>
    <xf numFmtId="0" fontId="5" fillId="0" borderId="0" xfId="0" applyFont="1"/>
    <xf numFmtId="0" fontId="0" fillId="0" borderId="0" xfId="0" applyAlignment="1">
      <alignment vertical="center"/>
    </xf>
    <xf numFmtId="0" fontId="0" fillId="3" borderId="0" xfId="0" applyFill="1"/>
    <xf numFmtId="0" fontId="6" fillId="4" borderId="1" xfId="0" applyFont="1" applyFill="1" applyBorder="1" applyAlignment="1">
      <alignment vertical="center"/>
    </xf>
    <xf numFmtId="0" fontId="7" fillId="5" borderId="2" xfId="0" applyFont="1" applyFill="1" applyBorder="1" applyAlignment="1">
      <alignment vertical="center"/>
    </xf>
    <xf numFmtId="0" fontId="7" fillId="0" borderId="2" xfId="0" applyFont="1" applyBorder="1" applyAlignment="1">
      <alignment vertical="center"/>
    </xf>
    <xf numFmtId="0" fontId="0" fillId="0" borderId="0" xfId="0" applyAlignment="1"/>
    <xf numFmtId="0" fontId="8" fillId="0" borderId="0" xfId="0" applyFont="1" applyFill="1" applyBorder="1" applyAlignment="1">
      <alignment horizontal="right" vertical="center"/>
    </xf>
    <xf numFmtId="0" fontId="1" fillId="0" borderId="0" xfId="1" applyAlignment="1">
      <alignment horizontal="center" vertical="center"/>
    </xf>
    <xf numFmtId="0" fontId="10" fillId="0" borderId="0" xfId="0" applyFont="1" applyFill="1" applyBorder="1" applyAlignment="1">
      <alignment horizontal="right" vertical="center"/>
    </xf>
  </cellXfs>
  <cellStyles count="3189">
    <cellStyle name="常规" xfId="0" builtinId="0"/>
    <cellStyle name="常规 10" xfId="3182"/>
    <cellStyle name="常规 10 2" xfId="3"/>
    <cellStyle name="常规 11" xfId="3181"/>
    <cellStyle name="常规 11 2" xfId="4"/>
    <cellStyle name="常规 12" xfId="2"/>
    <cellStyle name="常规 12 2" xfId="5"/>
    <cellStyle name="常规 13" xfId="1"/>
    <cellStyle name="常规 13 2" xfId="6"/>
    <cellStyle name="常规 14 2" xfId="7"/>
    <cellStyle name="常规 15 2" xfId="8"/>
    <cellStyle name="常规 2" xfId="9"/>
    <cellStyle name="常规 2 10" xfId="10"/>
    <cellStyle name="常规 2 10 2" xfId="3188"/>
    <cellStyle name="常规 2 11" xfId="11"/>
    <cellStyle name="常规 2 11 2" xfId="12"/>
    <cellStyle name="常规 2 11 2 2" xfId="13"/>
    <cellStyle name="常规 2 11 2 2 2" xfId="14"/>
    <cellStyle name="常规 2 11 2 2 2 2" xfId="15"/>
    <cellStyle name="常规 2 11 2 2 2 3" xfId="16"/>
    <cellStyle name="常规 2 11 2 2 2 4" xfId="17"/>
    <cellStyle name="常规 2 11 2 2 2 5" xfId="18"/>
    <cellStyle name="常规 2 11 2 2 3" xfId="19"/>
    <cellStyle name="常规 2 11 2 2 4" xfId="20"/>
    <cellStyle name="常规 2 11 2 2 5" xfId="21"/>
    <cellStyle name="常规 2 11 2 3" xfId="22"/>
    <cellStyle name="常规 2 11 2 4" xfId="23"/>
    <cellStyle name="常规 2 11 2 5" xfId="24"/>
    <cellStyle name="常规 2 11 2 6" xfId="25"/>
    <cellStyle name="常规 2 11 2 7" xfId="26"/>
    <cellStyle name="常规 2 11 2 8" xfId="27"/>
    <cellStyle name="常规 2 11 2 9" xfId="28"/>
    <cellStyle name="常规 2 11 3" xfId="29"/>
    <cellStyle name="常规 2 11 3 2" xfId="30"/>
    <cellStyle name="常规 2 11 3 2 2" xfId="31"/>
    <cellStyle name="常规 2 11 3 2 3" xfId="32"/>
    <cellStyle name="常规 2 11 3 2 4" xfId="33"/>
    <cellStyle name="常规 2 11 3 2 5" xfId="34"/>
    <cellStyle name="常规 2 11 3 3" xfId="35"/>
    <cellStyle name="常规 2 11 3 4" xfId="36"/>
    <cellStyle name="常规 2 11 3 5" xfId="37"/>
    <cellStyle name="常规 2 11 4" xfId="38"/>
    <cellStyle name="常规 2 11 5" xfId="39"/>
    <cellStyle name="常规 2 11 6" xfId="40"/>
    <cellStyle name="常规 2 11 7" xfId="41"/>
    <cellStyle name="常规 2 11 8" xfId="42"/>
    <cellStyle name="常规 2 11 9" xfId="43"/>
    <cellStyle name="常规 2 12" xfId="44"/>
    <cellStyle name="常规 2 13" xfId="45"/>
    <cellStyle name="常规 2 14" xfId="46"/>
    <cellStyle name="常规 2 15" xfId="47"/>
    <cellStyle name="常规 2 16" xfId="48"/>
    <cellStyle name="常规 2 17" xfId="49"/>
    <cellStyle name="常规 2 18" xfId="50"/>
    <cellStyle name="常规 2 19" xfId="51"/>
    <cellStyle name="常规 2 2" xfId="52"/>
    <cellStyle name="常规 2 2 10" xfId="53"/>
    <cellStyle name="常规 2 2 10 2" xfId="54"/>
    <cellStyle name="常规 2 2 10 2 2" xfId="55"/>
    <cellStyle name="常规 2 2 10 2 2 2" xfId="56"/>
    <cellStyle name="常规 2 2 10 2 2 2 2" xfId="57"/>
    <cellStyle name="常规 2 2 10 2 2 2 3" xfId="58"/>
    <cellStyle name="常规 2 2 10 2 2 2 4" xfId="59"/>
    <cellStyle name="常规 2 2 10 2 2 2 5" xfId="60"/>
    <cellStyle name="常规 2 2 10 2 2 3" xfId="61"/>
    <cellStyle name="常规 2 2 10 2 2 4" xfId="62"/>
    <cellStyle name="常规 2 2 10 2 2 5" xfId="63"/>
    <cellStyle name="常规 2 2 10 2 3" xfId="64"/>
    <cellStyle name="常规 2 2 10 2 4" xfId="65"/>
    <cellStyle name="常规 2 2 10 2 5" xfId="66"/>
    <cellStyle name="常规 2 2 10 2 6" xfId="67"/>
    <cellStyle name="常规 2 2 10 2 7" xfId="68"/>
    <cellStyle name="常规 2 2 10 2 8" xfId="69"/>
    <cellStyle name="常规 2 2 10 2 9" xfId="70"/>
    <cellStyle name="常规 2 2 10 3" xfId="71"/>
    <cellStyle name="常规 2 2 10 3 2" xfId="72"/>
    <cellStyle name="常规 2 2 10 3 2 2" xfId="73"/>
    <cellStyle name="常规 2 2 10 3 2 3" xfId="74"/>
    <cellStyle name="常规 2 2 10 3 2 4" xfId="75"/>
    <cellStyle name="常规 2 2 10 3 2 5" xfId="76"/>
    <cellStyle name="常规 2 2 10 3 3" xfId="77"/>
    <cellStyle name="常规 2 2 10 3 4" xfId="78"/>
    <cellStyle name="常规 2 2 10 3 5" xfId="79"/>
    <cellStyle name="常规 2 2 10 4" xfId="80"/>
    <cellStyle name="常规 2 2 10 5" xfId="81"/>
    <cellStyle name="常规 2 2 10 6" xfId="82"/>
    <cellStyle name="常规 2 2 10 7" xfId="83"/>
    <cellStyle name="常规 2 2 10 8" xfId="84"/>
    <cellStyle name="常规 2 2 10 9" xfId="85"/>
    <cellStyle name="常规 2 2 11" xfId="86"/>
    <cellStyle name="常规 2 2 12" xfId="87"/>
    <cellStyle name="常规 2 2 13" xfId="88"/>
    <cellStyle name="常规 2 2 14" xfId="89"/>
    <cellStyle name="常规 2 2 15" xfId="90"/>
    <cellStyle name="常规 2 2 16" xfId="91"/>
    <cellStyle name="常规 2 2 17" xfId="92"/>
    <cellStyle name="常规 2 2 18" xfId="93"/>
    <cellStyle name="常规 2 2 19" xfId="94"/>
    <cellStyle name="常规 2 2 2" xfId="95"/>
    <cellStyle name="常规 2 2 2 10" xfId="96"/>
    <cellStyle name="常规 2 2 2 10 2" xfId="97"/>
    <cellStyle name="常规 2 2 2 10 2 2" xfId="98"/>
    <cellStyle name="常规 2 2 2 10 2 2 2" xfId="99"/>
    <cellStyle name="常规 2 2 2 10 2 2 2 2" xfId="100"/>
    <cellStyle name="常规 2 2 2 10 2 2 2 3" xfId="101"/>
    <cellStyle name="常规 2 2 2 10 2 2 2 4" xfId="102"/>
    <cellStyle name="常规 2 2 2 10 2 2 2 5" xfId="103"/>
    <cellStyle name="常规 2 2 2 10 2 2 3" xfId="104"/>
    <cellStyle name="常规 2 2 2 10 2 2 4" xfId="105"/>
    <cellStyle name="常规 2 2 2 10 2 2 5" xfId="106"/>
    <cellStyle name="常规 2 2 2 10 2 3" xfId="107"/>
    <cellStyle name="常规 2 2 2 10 2 4" xfId="108"/>
    <cellStyle name="常规 2 2 2 10 2 5" xfId="109"/>
    <cellStyle name="常规 2 2 2 10 2 6" xfId="110"/>
    <cellStyle name="常规 2 2 2 10 2 7" xfId="111"/>
    <cellStyle name="常规 2 2 2 10 2 8" xfId="112"/>
    <cellStyle name="常规 2 2 2 10 2 9" xfId="113"/>
    <cellStyle name="常规 2 2 2 10 3" xfId="114"/>
    <cellStyle name="常规 2 2 2 10 3 2" xfId="115"/>
    <cellStyle name="常规 2 2 2 10 3 2 2" xfId="116"/>
    <cellStyle name="常规 2 2 2 10 3 2 3" xfId="117"/>
    <cellStyle name="常规 2 2 2 10 3 2 4" xfId="118"/>
    <cellStyle name="常规 2 2 2 10 3 2 5" xfId="119"/>
    <cellStyle name="常规 2 2 2 10 3 3" xfId="120"/>
    <cellStyle name="常规 2 2 2 10 3 4" xfId="121"/>
    <cellStyle name="常规 2 2 2 10 3 5" xfId="122"/>
    <cellStyle name="常规 2 2 2 10 4" xfId="123"/>
    <cellStyle name="常规 2 2 2 10 5" xfId="124"/>
    <cellStyle name="常规 2 2 2 10 6" xfId="125"/>
    <cellStyle name="常规 2 2 2 10 7" xfId="126"/>
    <cellStyle name="常规 2 2 2 10 8" xfId="127"/>
    <cellStyle name="常规 2 2 2 10 9" xfId="128"/>
    <cellStyle name="常规 2 2 2 11" xfId="129"/>
    <cellStyle name="常规 2 2 2 12" xfId="130"/>
    <cellStyle name="常规 2 2 2 13" xfId="131"/>
    <cellStyle name="常规 2 2 2 14" xfId="132"/>
    <cellStyle name="常规 2 2 2 15" xfId="133"/>
    <cellStyle name="常规 2 2 2 16" xfId="134"/>
    <cellStyle name="常规 2 2 2 17" xfId="135"/>
    <cellStyle name="常规 2 2 2 18" xfId="136"/>
    <cellStyle name="常规 2 2 2 19" xfId="137"/>
    <cellStyle name="常规 2 2 2 2" xfId="138"/>
    <cellStyle name="常规 2 2 2 2 10" xfId="139"/>
    <cellStyle name="常规 2 2 2 2 11" xfId="140"/>
    <cellStyle name="常规 2 2 2 2 12" xfId="141"/>
    <cellStyle name="常规 2 2 2 2 13" xfId="142"/>
    <cellStyle name="常规 2 2 2 2 14" xfId="143"/>
    <cellStyle name="常规 2 2 2 2 15" xfId="144"/>
    <cellStyle name="常规 2 2 2 2 16" xfId="145"/>
    <cellStyle name="常规 2 2 2 2 17" xfId="146"/>
    <cellStyle name="常规 2 2 2 2 18" xfId="147"/>
    <cellStyle name="常规 2 2 2 2 19" xfId="148"/>
    <cellStyle name="常规 2 2 2 2 2" xfId="149"/>
    <cellStyle name="常规 2 2 2 2 2 10" xfId="150"/>
    <cellStyle name="常规 2 2 2 2 2 11" xfId="151"/>
    <cellStyle name="常规 2 2 2 2 2 12" xfId="152"/>
    <cellStyle name="常规 2 2 2 2 2 13" xfId="153"/>
    <cellStyle name="常规 2 2 2 2 2 14" xfId="154"/>
    <cellStyle name="常规 2 2 2 2 2 15" xfId="155"/>
    <cellStyle name="常规 2 2 2 2 2 16" xfId="156"/>
    <cellStyle name="常规 2 2 2 2 2 17" xfId="157"/>
    <cellStyle name="常规 2 2 2 2 2 18" xfId="158"/>
    <cellStyle name="常规 2 2 2 2 2 19" xfId="159"/>
    <cellStyle name="常规 2 2 2 2 2 2" xfId="160"/>
    <cellStyle name="常规 2 2 2 2 2 2 10" xfId="161"/>
    <cellStyle name="常规 2 2 2 2 2 2 11" xfId="162"/>
    <cellStyle name="常规 2 2 2 2 2 2 12" xfId="163"/>
    <cellStyle name="常规 2 2 2 2 2 2 13" xfId="164"/>
    <cellStyle name="常规 2 2 2 2 2 2 14" xfId="165"/>
    <cellStyle name="常规 2 2 2 2 2 2 15" xfId="166"/>
    <cellStyle name="常规 2 2 2 2 2 2 16" xfId="167"/>
    <cellStyle name="常规 2 2 2 2 2 2 17" xfId="168"/>
    <cellStyle name="常规 2 2 2 2 2 2 18" xfId="169"/>
    <cellStyle name="常规 2 2 2 2 2 2 19" xfId="170"/>
    <cellStyle name="常规 2 2 2 2 2 2 2" xfId="171"/>
    <cellStyle name="常规 2 2 2 2 2 2 2 10" xfId="172"/>
    <cellStyle name="常规 2 2 2 2 2 2 2 11" xfId="173"/>
    <cellStyle name="常规 2 2 2 2 2 2 2 12" xfId="174"/>
    <cellStyle name="常规 2 2 2 2 2 2 2 13" xfId="175"/>
    <cellStyle name="常规 2 2 2 2 2 2 2 14" xfId="176"/>
    <cellStyle name="常规 2 2 2 2 2 2 2 15" xfId="177"/>
    <cellStyle name="常规 2 2 2 2 2 2 2 16" xfId="178"/>
    <cellStyle name="常规 2 2 2 2 2 2 2 17" xfId="179"/>
    <cellStyle name="常规 2 2 2 2 2 2 2 18" xfId="180"/>
    <cellStyle name="常规 2 2 2 2 2 2 2 19" xfId="181"/>
    <cellStyle name="常规 2 2 2 2 2 2 2 2" xfId="182"/>
    <cellStyle name="常规 2 2 2 2 2 2 2 2 10" xfId="183"/>
    <cellStyle name="常规 2 2 2 2 2 2 2 2 11" xfId="184"/>
    <cellStyle name="常规 2 2 2 2 2 2 2 2 12" xfId="185"/>
    <cellStyle name="常规 2 2 2 2 2 2 2 2 13" xfId="186"/>
    <cellStyle name="常规 2 2 2 2 2 2 2 2 14" xfId="187"/>
    <cellStyle name="常规 2 2 2 2 2 2 2 2 15" xfId="188"/>
    <cellStyle name="常规 2 2 2 2 2 2 2 2 16" xfId="189"/>
    <cellStyle name="常规 2 2 2 2 2 2 2 2 17" xfId="190"/>
    <cellStyle name="常规 2 2 2 2 2 2 2 2 18" xfId="191"/>
    <cellStyle name="常规 2 2 2 2 2 2 2 2 19" xfId="192"/>
    <cellStyle name="常规 2 2 2 2 2 2 2 2 2" xfId="193"/>
    <cellStyle name="常规 2 2 2 2 2 2 2 2 2 10" xfId="194"/>
    <cellStyle name="常规 2 2 2 2 2 2 2 2 2 11" xfId="195"/>
    <cellStyle name="常规 2 2 2 2 2 2 2 2 2 12" xfId="196"/>
    <cellStyle name="常规 2 2 2 2 2 2 2 2 2 13" xfId="197"/>
    <cellStyle name="常规 2 2 2 2 2 2 2 2 2 14" xfId="198"/>
    <cellStyle name="常规 2 2 2 2 2 2 2 2 2 15" xfId="199"/>
    <cellStyle name="常规 2 2 2 2 2 2 2 2 2 16" xfId="200"/>
    <cellStyle name="常规 2 2 2 2 2 2 2 2 2 17" xfId="201"/>
    <cellStyle name="常规 2 2 2 2 2 2 2 2 2 18" xfId="202"/>
    <cellStyle name="常规 2 2 2 2 2 2 2 2 2 19" xfId="203"/>
    <cellStyle name="常规 2 2 2 2 2 2 2 2 2 2" xfId="204"/>
    <cellStyle name="常规 2 2 2 2 2 2 2 2 2 2 10" xfId="205"/>
    <cellStyle name="常规 2 2 2 2 2 2 2 2 2 2 11" xfId="206"/>
    <cellStyle name="常规 2 2 2 2 2 2 2 2 2 2 12" xfId="207"/>
    <cellStyle name="常规 2 2 2 2 2 2 2 2 2 2 13" xfId="208"/>
    <cellStyle name="常规 2 2 2 2 2 2 2 2 2 2 14" xfId="209"/>
    <cellStyle name="常规 2 2 2 2 2 2 2 2 2 2 15" xfId="210"/>
    <cellStyle name="常规 2 2 2 2 2 2 2 2 2 2 16" xfId="211"/>
    <cellStyle name="常规 2 2 2 2 2 2 2 2 2 2 17" xfId="212"/>
    <cellStyle name="常规 2 2 2 2 2 2 2 2 2 2 18" xfId="213"/>
    <cellStyle name="常规 2 2 2 2 2 2 2 2 2 2 19" xfId="214"/>
    <cellStyle name="常规 2 2 2 2 2 2 2 2 2 2 2" xfId="215"/>
    <cellStyle name="常规 2 2 2 2 2 2 2 2 2 2 2 10" xfId="216"/>
    <cellStyle name="常规 2 2 2 2 2 2 2 2 2 2 2 11" xfId="217"/>
    <cellStyle name="常规 2 2 2 2 2 2 2 2 2 2 2 12" xfId="218"/>
    <cellStyle name="常规 2 2 2 2 2 2 2 2 2 2 2 13" xfId="219"/>
    <cellStyle name="常规 2 2 2 2 2 2 2 2 2 2 2 14" xfId="220"/>
    <cellStyle name="常规 2 2 2 2 2 2 2 2 2 2 2 15" xfId="221"/>
    <cellStyle name="常规 2 2 2 2 2 2 2 2 2 2 2 16" xfId="222"/>
    <cellStyle name="常规 2 2 2 2 2 2 2 2 2 2 2 17" xfId="223"/>
    <cellStyle name="常规 2 2 2 2 2 2 2 2 2 2 2 18" xfId="224"/>
    <cellStyle name="常规 2 2 2 2 2 2 2 2 2 2 2 19" xfId="225"/>
    <cellStyle name="常规 2 2 2 2 2 2 2 2 2 2 2 2" xfId="226"/>
    <cellStyle name="常规 2 2 2 2 2 2 2 2 2 2 2 2 10" xfId="227"/>
    <cellStyle name="常规 2 2 2 2 2 2 2 2 2 2 2 2 11" xfId="228"/>
    <cellStyle name="常规 2 2 2 2 2 2 2 2 2 2 2 2 12" xfId="229"/>
    <cellStyle name="常规 2 2 2 2 2 2 2 2 2 2 2 2 13" xfId="230"/>
    <cellStyle name="常规 2 2 2 2 2 2 2 2 2 2 2 2 14" xfId="231"/>
    <cellStyle name="常规 2 2 2 2 2 2 2 2 2 2 2 2 15" xfId="232"/>
    <cellStyle name="常规 2 2 2 2 2 2 2 2 2 2 2 2 16" xfId="233"/>
    <cellStyle name="常规 2 2 2 2 2 2 2 2 2 2 2 2 17" xfId="234"/>
    <cellStyle name="常规 2 2 2 2 2 2 2 2 2 2 2 2 18" xfId="235"/>
    <cellStyle name="常规 2 2 2 2 2 2 2 2 2 2 2 2 19" xfId="236"/>
    <cellStyle name="常规 2 2 2 2 2 2 2 2 2 2 2 2 2" xfId="237"/>
    <cellStyle name="常规 2 2 2 2 2 2 2 2 2 2 2 2 2 10" xfId="238"/>
    <cellStyle name="常规 2 2 2 2 2 2 2 2 2 2 2 2 2 11" xfId="239"/>
    <cellStyle name="常规 2 2 2 2 2 2 2 2 2 2 2 2 2 12" xfId="240"/>
    <cellStyle name="常规 2 2 2 2 2 2 2 2 2 2 2 2 2 13" xfId="241"/>
    <cellStyle name="常规 2 2 2 2 2 2 2 2 2 2 2 2 2 14" xfId="242"/>
    <cellStyle name="常规 2 2 2 2 2 2 2 2 2 2 2 2 2 15" xfId="243"/>
    <cellStyle name="常规 2 2 2 2 2 2 2 2 2 2 2 2 2 16" xfId="244"/>
    <cellStyle name="常规 2 2 2 2 2 2 2 2 2 2 2 2 2 17" xfId="245"/>
    <cellStyle name="常规 2 2 2 2 2 2 2 2 2 2 2 2 2 18" xfId="246"/>
    <cellStyle name="常规 2 2 2 2 2 2 2 2 2 2 2 2 2 19" xfId="247"/>
    <cellStyle name="常规 2 2 2 2 2 2 2 2 2 2 2 2 2 2" xfId="248"/>
    <cellStyle name="常规 2 2 2 2 2 2 2 2 2 2 2 2 2 2 10" xfId="249"/>
    <cellStyle name="常规 2 2 2 2 2 2 2 2 2 2 2 2 2 2 11" xfId="250"/>
    <cellStyle name="常规 2 2 2 2 2 2 2 2 2 2 2 2 2 2 12" xfId="251"/>
    <cellStyle name="常规 2 2 2 2 2 2 2 2 2 2 2 2 2 2 13" xfId="252"/>
    <cellStyle name="常规 2 2 2 2 2 2 2 2 2 2 2 2 2 2 14" xfId="253"/>
    <cellStyle name="常规 2 2 2 2 2 2 2 2 2 2 2 2 2 2 15" xfId="254"/>
    <cellStyle name="常规 2 2 2 2 2 2 2 2 2 2 2 2 2 2 16" xfId="255"/>
    <cellStyle name="常规 2 2 2 2 2 2 2 2 2 2 2 2 2 2 17" xfId="256"/>
    <cellStyle name="常规 2 2 2 2 2 2 2 2 2 2 2 2 2 2 18" xfId="257"/>
    <cellStyle name="常规 2 2 2 2 2 2 2 2 2 2 2 2 2 2 19" xfId="258"/>
    <cellStyle name="常规 2 2 2 2 2 2 2 2 2 2 2 2 2 2 2" xfId="259"/>
    <cellStyle name="常规 2 2 2 2 2 2 2 2 2 2 2 2 2 2 2 10" xfId="260"/>
    <cellStyle name="常规 2 2 2 2 2 2 2 2 2 2 2 2 2 2 2 11" xfId="261"/>
    <cellStyle name="常规 2 2 2 2 2 2 2 2 2 2 2 2 2 2 2 12" xfId="262"/>
    <cellStyle name="常规 2 2 2 2 2 2 2 2 2 2 2 2 2 2 2 13" xfId="263"/>
    <cellStyle name="常规 2 2 2 2 2 2 2 2 2 2 2 2 2 2 2 14" xfId="264"/>
    <cellStyle name="常规 2 2 2 2 2 2 2 2 2 2 2 2 2 2 2 15" xfId="265"/>
    <cellStyle name="常规 2 2 2 2 2 2 2 2 2 2 2 2 2 2 2 16" xfId="266"/>
    <cellStyle name="常规 2 2 2 2 2 2 2 2 2 2 2 2 2 2 2 17" xfId="267"/>
    <cellStyle name="常规 2 2 2 2 2 2 2 2 2 2 2 2 2 2 2 18" xfId="268"/>
    <cellStyle name="常规 2 2 2 2 2 2 2 2 2 2 2 2 2 2 2 19" xfId="269"/>
    <cellStyle name="常规 2 2 2 2 2 2 2 2 2 2 2 2 2 2 2 2" xfId="270"/>
    <cellStyle name="常规 2 2 2 2 2 2 2 2 2 2 2 2 2 2 2 2 10" xfId="271"/>
    <cellStyle name="常规 2 2 2 2 2 2 2 2 2 2 2 2 2 2 2 2 11" xfId="272"/>
    <cellStyle name="常规 2 2 2 2 2 2 2 2 2 2 2 2 2 2 2 2 12" xfId="273"/>
    <cellStyle name="常规 2 2 2 2 2 2 2 2 2 2 2 2 2 2 2 2 13" xfId="274"/>
    <cellStyle name="常规 2 2 2 2 2 2 2 2 2 2 2 2 2 2 2 2 14" xfId="275"/>
    <cellStyle name="常规 2 2 2 2 2 2 2 2 2 2 2 2 2 2 2 2 15" xfId="276"/>
    <cellStyle name="常规 2 2 2 2 2 2 2 2 2 2 2 2 2 2 2 2 16" xfId="277"/>
    <cellStyle name="常规 2 2 2 2 2 2 2 2 2 2 2 2 2 2 2 2 17" xfId="278"/>
    <cellStyle name="常规 2 2 2 2 2 2 2 2 2 2 2 2 2 2 2 2 18" xfId="279"/>
    <cellStyle name="常规 2 2 2 2 2 2 2 2 2 2 2 2 2 2 2 2 18 2" xfId="280"/>
    <cellStyle name="常规 2 2 2 2 2 2 2 2 2 2 2 2 2 2 2 2 18 2 2" xfId="281"/>
    <cellStyle name="常规 2 2 2 2 2 2 2 2 2 2 2 2 2 2 2 2 18 2 3" xfId="282"/>
    <cellStyle name="常规 2 2 2 2 2 2 2 2 2 2 2 2 2 2 2 2 18 2 4" xfId="283"/>
    <cellStyle name="常规 2 2 2 2 2 2 2 2 2 2 2 2 2 2 2 2 18 2 5" xfId="284"/>
    <cellStyle name="常规 2 2 2 2 2 2 2 2 2 2 2 2 2 2 2 2 18 3" xfId="285"/>
    <cellStyle name="常规 2 2 2 2 2 2 2 2 2 2 2 2 2 2 2 2 18 4" xfId="286"/>
    <cellStyle name="常规 2 2 2 2 2 2 2 2 2 2 2 2 2 2 2 2 18 5" xfId="287"/>
    <cellStyle name="常规 2 2 2 2 2 2 2 2 2 2 2 2 2 2 2 2 19" xfId="288"/>
    <cellStyle name="常规 2 2 2 2 2 2 2 2 2 2 2 2 2 2 2 2 2" xfId="289"/>
    <cellStyle name="常规 2 2 2 2 2 2 2 2 2 2 2 2 2 2 2 2 2 10" xfId="290"/>
    <cellStyle name="常规 2 2 2 2 2 2 2 2 2 2 2 2 2 2 2 2 2 11" xfId="291"/>
    <cellStyle name="常规 2 2 2 2 2 2 2 2 2 2 2 2 2 2 2 2 2 12" xfId="292"/>
    <cellStyle name="常规 2 2 2 2 2 2 2 2 2 2 2 2 2 2 2 2 2 12 2" xfId="293"/>
    <cellStyle name="常规 2 2 2 2 2 2 2 2 2 2 2 2 2 2 2 2 2 12 2 2" xfId="294"/>
    <cellStyle name="常规 2 2 2 2 2 2 2 2 2 2 2 2 2 2 2 2 2 12 2 3" xfId="295"/>
    <cellStyle name="常规 2 2 2 2 2 2 2 2 2 2 2 2 2 2 2 2 2 12 2 4" xfId="296"/>
    <cellStyle name="常规 2 2 2 2 2 2 2 2 2 2 2 2 2 2 2 2 2 12 2 5" xfId="297"/>
    <cellStyle name="常规 2 2 2 2 2 2 2 2 2 2 2 2 2 2 2 2 2 12 3" xfId="298"/>
    <cellStyle name="常规 2 2 2 2 2 2 2 2 2 2 2 2 2 2 2 2 2 12 4" xfId="299"/>
    <cellStyle name="常规 2 2 2 2 2 2 2 2 2 2 2 2 2 2 2 2 2 12 5" xfId="300"/>
    <cellStyle name="常规 2 2 2 2 2 2 2 2 2 2 2 2 2 2 2 2 2 13" xfId="301"/>
    <cellStyle name="常规 2 2 2 2 2 2 2 2 2 2 2 2 2 2 2 2 2 14" xfId="302"/>
    <cellStyle name="常规 2 2 2 2 2 2 2 2 2 2 2 2 2 2 2 2 2 15" xfId="303"/>
    <cellStyle name="常规 2 2 2 2 2 2 2 2 2 2 2 2 2 2 2 2 2 16" xfId="304"/>
    <cellStyle name="常规 2 2 2 2 2 2 2 2 2 2 2 2 2 2 2 2 2 17" xfId="305"/>
    <cellStyle name="常规 2 2 2 2 2 2 2 2 2 2 2 2 2 2 2 2 2 18" xfId="306"/>
    <cellStyle name="常规 2 2 2 2 2 2 2 2 2 2 2 2 2 2 2 2 2 19" xfId="307"/>
    <cellStyle name="常规 2 2 2 2 2 2 2 2 2 2 2 2 2 2 2 2 2 2" xfId="308"/>
    <cellStyle name="常规 2 2 2 2 2 2 2 2 2 2 2 2 2 2 2 2 2 2 10" xfId="309"/>
    <cellStyle name="常规 2 2 2 2 2 2 2 2 2 2 2 2 2 2 2 2 2 2 11" xfId="310"/>
    <cellStyle name="常规 2 2 2 2 2 2 2 2 2 2 2 2 2 2 2 2 2 2 12" xfId="311"/>
    <cellStyle name="常规 2 2 2 2 2 2 2 2 2 2 2 2 2 2 2 2 2 2 12 2" xfId="312"/>
    <cellStyle name="常规 2 2 2 2 2 2 2 2 2 2 2 2 2 2 2 2 2 2 12 2 2" xfId="313"/>
    <cellStyle name="常规 2 2 2 2 2 2 2 2 2 2 2 2 2 2 2 2 2 2 12 2 3" xfId="314"/>
    <cellStyle name="常规 2 2 2 2 2 2 2 2 2 2 2 2 2 2 2 2 2 2 12 2 4" xfId="315"/>
    <cellStyle name="常规 2 2 2 2 2 2 2 2 2 2 2 2 2 2 2 2 2 2 12 2 5" xfId="316"/>
    <cellStyle name="常规 2 2 2 2 2 2 2 2 2 2 2 2 2 2 2 2 2 2 12 3" xfId="317"/>
    <cellStyle name="常规 2 2 2 2 2 2 2 2 2 2 2 2 2 2 2 2 2 2 12 4" xfId="318"/>
    <cellStyle name="常规 2 2 2 2 2 2 2 2 2 2 2 2 2 2 2 2 2 2 12 5" xfId="319"/>
    <cellStyle name="常规 2 2 2 2 2 2 2 2 2 2 2 2 2 2 2 2 2 2 13" xfId="320"/>
    <cellStyle name="常规 2 2 2 2 2 2 2 2 2 2 2 2 2 2 2 2 2 2 14" xfId="321"/>
    <cellStyle name="常规 2 2 2 2 2 2 2 2 2 2 2 2 2 2 2 2 2 2 15" xfId="322"/>
    <cellStyle name="常规 2 2 2 2 2 2 2 2 2 2 2 2 2 2 2 2 2 2 16" xfId="323"/>
    <cellStyle name="常规 2 2 2 2 2 2 2 2 2 2 2 2 2 2 2 2 2 2 17" xfId="324"/>
    <cellStyle name="常规 2 2 2 2 2 2 2 2 2 2 2 2 2 2 2 2 2 2 18" xfId="325"/>
    <cellStyle name="常规 2 2 2 2 2 2 2 2 2 2 2 2 2 2 2 2 2 2 19" xfId="326"/>
    <cellStyle name="常规 2 2 2 2 2 2 2 2 2 2 2 2 2 2 2 2 2 2 2" xfId="327"/>
    <cellStyle name="常规 2 2 2 2 2 2 2 2 2 2 2 2 2 2 2 2 2 2 2 10" xfId="328"/>
    <cellStyle name="常规 2 2 2 2 2 2 2 2 2 2 2 2 2 2 2 2 2 2 2 11" xfId="329"/>
    <cellStyle name="常规 2 2 2 2 2 2 2 2 2 2 2 2 2 2 2 2 2 2 2 12" xfId="330"/>
    <cellStyle name="常规 2 2 2 2 2 2 2 2 2 2 2 2 2 2 2 2 2 2 2 13" xfId="331"/>
    <cellStyle name="常规 2 2 2 2 2 2 2 2 2 2 2 2 2 2 2 2 2 2 2 14" xfId="332"/>
    <cellStyle name="常规 2 2 2 2 2 2 2 2 2 2 2 2 2 2 2 2 2 2 2 15" xfId="333"/>
    <cellStyle name="常规 2 2 2 2 2 2 2 2 2 2 2 2 2 2 2 2 2 2 2 16" xfId="334"/>
    <cellStyle name="常规 2 2 2 2 2 2 2 2 2 2 2 2 2 2 2 2 2 2 2 17" xfId="335"/>
    <cellStyle name="常规 2 2 2 2 2 2 2 2 2 2 2 2 2 2 2 2 2 2 2 18" xfId="336"/>
    <cellStyle name="常规 2 2 2 2 2 2 2 2 2 2 2 2 2 2 2 2 2 2 2 18 2" xfId="337"/>
    <cellStyle name="常规 2 2 2 2 2 2 2 2 2 2 2 2 2 2 2 2 2 2 2 18 3" xfId="338"/>
    <cellStyle name="常规 2 2 2 2 2 2 2 2 2 2 2 2 2 2 2 2 2 2 2 19" xfId="339"/>
    <cellStyle name="常规 2 2 2 2 2 2 2 2 2 2 2 2 2 2 2 2 2 2 2 2" xfId="340"/>
    <cellStyle name="常规 2 2 2 2 2 2 2 2 2 2 2 2 2 2 2 2 2 2 2 2 10" xfId="341"/>
    <cellStyle name="常规 2 2 2 2 2 2 2 2 2 2 2 2 2 2 2 2 2 2 2 2 11" xfId="342"/>
    <cellStyle name="常规 2 2 2 2 2 2 2 2 2 2 2 2 2 2 2 2 2 2 2 2 12" xfId="343"/>
    <cellStyle name="常规 2 2 2 2 2 2 2 2 2 2 2 2 2 2 2 2 2 2 2 2 13" xfId="344"/>
    <cellStyle name="常规 2 2 2 2 2 2 2 2 2 2 2 2 2 2 2 2 2 2 2 2 14" xfId="345"/>
    <cellStyle name="常规 2 2 2 2 2 2 2 2 2 2 2 2 2 2 2 2 2 2 2 2 15" xfId="346"/>
    <cellStyle name="常规 2 2 2 2 2 2 2 2 2 2 2 2 2 2 2 2 2 2 2 2 16" xfId="347"/>
    <cellStyle name="常规 2 2 2 2 2 2 2 2 2 2 2 2 2 2 2 2 2 2 2 2 17" xfId="348"/>
    <cellStyle name="常规 2 2 2 2 2 2 2 2 2 2 2 2 2 2 2 2 2 2 2 2 17 2" xfId="349"/>
    <cellStyle name="常规 2 2 2 2 2 2 2 2 2 2 2 2 2 2 2 2 2 2 2 2 17 3" xfId="350"/>
    <cellStyle name="常规 2 2 2 2 2 2 2 2 2 2 2 2 2 2 2 2 2 2 2 2 18" xfId="351"/>
    <cellStyle name="常规 2 2 2 2 2 2 2 2 2 2 2 2 2 2 2 2 2 2 2 2 19" xfId="352"/>
    <cellStyle name="常规 2 2 2 2 2 2 2 2 2 2 2 2 2 2 2 2 2 2 2 2 2" xfId="353"/>
    <cellStyle name="常规 2 2 2 2 2 2 2 2 2 2 2 2 2 2 2 2 2 2 2 2 2 10" xfId="354"/>
    <cellStyle name="常规 2 2 2 2 2 2 2 2 2 2 2 2 2 2 2 2 2 2 2 2 2 11" xfId="355"/>
    <cellStyle name="常规 2 2 2 2 2 2 2 2 2 2 2 2 2 2 2 2 2 2 2 2 2 12" xfId="356"/>
    <cellStyle name="常规 2 2 2 2 2 2 2 2 2 2 2 2 2 2 2 2 2 2 2 2 2 13" xfId="357"/>
    <cellStyle name="常规 2 2 2 2 2 2 2 2 2 2 2 2 2 2 2 2 2 2 2 2 2 14" xfId="358"/>
    <cellStyle name="常规 2 2 2 2 2 2 2 2 2 2 2 2 2 2 2 2 2 2 2 2 2 15" xfId="359"/>
    <cellStyle name="常规 2 2 2 2 2 2 2 2 2 2 2 2 2 2 2 2 2 2 2 2 2 16" xfId="360"/>
    <cellStyle name="常规 2 2 2 2 2 2 2 2 2 2 2 2 2 2 2 2 2 2 2 2 2 17" xfId="361"/>
    <cellStyle name="常规 2 2 2 2 2 2 2 2 2 2 2 2 2 2 2 2 2 2 2 2 2 17 2" xfId="362"/>
    <cellStyle name="常规 2 2 2 2 2 2 2 2 2 2 2 2 2 2 2 2 2 2 2 2 2 17 3" xfId="363"/>
    <cellStyle name="常规 2 2 2 2 2 2 2 2 2 2 2 2 2 2 2 2 2 2 2 2 2 18" xfId="364"/>
    <cellStyle name="常规 2 2 2 2 2 2 2 2 2 2 2 2 2 2 2 2 2 2 2 2 2 19" xfId="365"/>
    <cellStyle name="常规 2 2 2 2 2 2 2 2 2 2 2 2 2 2 2 2 2 2 2 2 2 2" xfId="366"/>
    <cellStyle name="常规 2 2 2 2 2 2 2 2 2 2 2 2 2 2 2 2 2 2 2 2 2 2 10" xfId="367"/>
    <cellStyle name="常规 2 2 2 2 2 2 2 2 2 2 2 2 2 2 2 2 2 2 2 2 2 2 11" xfId="368"/>
    <cellStyle name="常规 2 2 2 2 2 2 2 2 2 2 2 2 2 2 2 2 2 2 2 2 2 2 12" xfId="369"/>
    <cellStyle name="常规 2 2 2 2 2 2 2 2 2 2 2 2 2 2 2 2 2 2 2 2 2 2 13" xfId="370"/>
    <cellStyle name="常规 2 2 2 2 2 2 2 2 2 2 2 2 2 2 2 2 2 2 2 2 2 2 13 2" xfId="371"/>
    <cellStyle name="常规 2 2 2 2 2 2 2 2 2 2 2 2 2 2 2 2 2 2 2 2 2 2 13 3" xfId="372"/>
    <cellStyle name="常规 2 2 2 2 2 2 2 2 2 2 2 2 2 2 2 2 2 2 2 2 2 2 14" xfId="373"/>
    <cellStyle name="常规 2 2 2 2 2 2 2 2 2 2 2 2 2 2 2 2 2 2 2 2 2 2 15" xfId="374"/>
    <cellStyle name="常规 2 2 2 2 2 2 2 2 2 2 2 2 2 2 2 2 2 2 2 2 2 2 2" xfId="375"/>
    <cellStyle name="常规 2 2 2 2 2 2 2 2 2 2 2 2 2 2 2 2 2 2 2 2 2 2 2 10" xfId="376"/>
    <cellStyle name="常规 2 2 2 2 2 2 2 2 2 2 2 2 2 2 2 2 2 2 2 2 2 2 2 11" xfId="377"/>
    <cellStyle name="常规 2 2 2 2 2 2 2 2 2 2 2 2 2 2 2 2 2 2 2 2 2 2 2 12" xfId="378"/>
    <cellStyle name="常规 2 2 2 2 2 2 2 2 2 2 2 2 2 2 2 2 2 2 2 2 2 2 2 13" xfId="379"/>
    <cellStyle name="常规 2 2 2 2 2 2 2 2 2 2 2 2 2 2 2 2 2 2 2 2 2 2 2 13 2" xfId="380"/>
    <cellStyle name="常规 2 2 2 2 2 2 2 2 2 2 2 2 2 2 2 2 2 2 2 2 2 2 2 13 3" xfId="381"/>
    <cellStyle name="常规 2 2 2 2 2 2 2 2 2 2 2 2 2 2 2 2 2 2 2 2 2 2 2 14" xfId="382"/>
    <cellStyle name="常规 2 2 2 2 2 2 2 2 2 2 2 2 2 2 2 2 2 2 2 2 2 2 2 15" xfId="383"/>
    <cellStyle name="常规 2 2 2 2 2 2 2 2 2 2 2 2 2 2 2 2 2 2 2 2 2 2 2 2" xfId="384"/>
    <cellStyle name="常规 2 2 2 2 2 2 2 2 2 2 2 2 2 2 2 2 2 2 2 2 2 2 2 2 10" xfId="385"/>
    <cellStyle name="常规 2 2 2 2 2 2 2 2 2 2 2 2 2 2 2 2 2 2 2 2 2 2 2 2 11" xfId="386"/>
    <cellStyle name="常规 2 2 2 2 2 2 2 2 2 2 2 2 2 2 2 2 2 2 2 2 2 2 2 2 2" xfId="387"/>
    <cellStyle name="常规 2 2 2 2 2 2 2 2 2 2 2 2 2 2 2 2 2 2 2 2 2 2 2 2 2 10" xfId="388"/>
    <cellStyle name="常规 2 2 2 2 2 2 2 2 2 2 2 2 2 2 2 2 2 2 2 2 2 2 2 2 2 11" xfId="389"/>
    <cellStyle name="常规 2 2 2 2 2 2 2 2 2 2 2 2 2 2 2 2 2 2 2 2 2 2 2 2 2 2" xfId="390"/>
    <cellStyle name="常规 2 2 2 2 2 2 2 2 2 2 2 2 2 2 2 2 2 2 2 2 2 2 2 2 2 2 2" xfId="391"/>
    <cellStyle name="常规 2 2 2 2 2 2 2 2 2 2 2 2 2 2 2 2 2 2 2 2 2 2 2 2 2 2 2 2" xfId="392"/>
    <cellStyle name="常规 2 2 2 2 2 2 2 2 2 2 2 2 2 2 2 2 2 2 2 2 2 2 2 2 2 2 2 2 2" xfId="393"/>
    <cellStyle name="常规 2 2 2 2 2 2 2 2 2 2 2 2 2 2 2 2 2 2 2 2 2 2 2 2 2 2 2 2 2 2" xfId="394"/>
    <cellStyle name="常规 2 2 2 2 2 2 2 2 2 2 2 2 2 2 2 2 2 2 2 2 2 2 2 2 2 2 2 2 2 2 2" xfId="395"/>
    <cellStyle name="常规 2 2 2 2 2 2 2 2 2 2 2 2 2 2 2 2 2 2 2 2 2 2 2 2 2 2 2 2 2 2 2 2" xfId="396"/>
    <cellStyle name="常规 2 2 2 2 2 2 2 2 2 2 2 2 2 2 2 2 2 2 2 2 2 2 2 2 2 2 2 2 2 2 2 2 2" xfId="397"/>
    <cellStyle name="常规 2 2 2 2 2 2 2 2 2 2 2 2 2 2 2 2 2 2 2 2 2 2 2 2 2 2 2 2 2 2 2 2 2 2" xfId="398"/>
    <cellStyle name="常规 2 2 2 2 2 2 2 2 2 2 2 2 2 2 2 2 2 2 2 2 2 2 2 2 2 2 2 2 2 2 2 2 2 2 2" xfId="399"/>
    <cellStyle name="常规 2 2 2 2 2 2 2 2 2 2 2 2 2 2 2 2 2 2 2 2 2 2 2 2 2 2 2 2 2 2 2 2 2 2 2 2" xfId="400"/>
    <cellStyle name="常规 2 2 2 2 2 2 2 2 2 2 2 2 2 2 2 2 2 2 2 2 2 2 2 2 2 2 2 2 2 2 2 2 2 3" xfId="401"/>
    <cellStyle name="常规 2 2 2 2 2 2 2 2 2 2 2 2 2 2 2 2 2 2 2 2 2 2 2 2 2 2 2 2 2 2 2 2 2 4" xfId="402"/>
    <cellStyle name="常规 2 2 2 2 2 2 2 2 2 2 2 2 2 2 2 2 2 2 2 2 2 2 2 2 2 2 2 2 2 2 2 2 3" xfId="403"/>
    <cellStyle name="常规 2 2 2 2 2 2 2 2 2 2 2 2 2 2 2 2 2 2 2 2 2 2 2 2 2 2 2 2 2 2 2 2 4" xfId="404"/>
    <cellStyle name="常规 2 2 2 2 2 2 2 2 2 2 2 2 2 2 2 2 2 2 2 2 2 2 2 2 2 2 2 2 2 2 2 2 5" xfId="405"/>
    <cellStyle name="常规 2 2 2 2 2 2 2 2 2 2 2 2 2 2 2 2 2 2 2 2 2 2 2 2 2 2 2 2 2 2 2 3" xfId="406"/>
    <cellStyle name="常规 2 2 2 2 2 2 2 2 2 2 2 2 2 2 2 2 2 2 2 2 2 2 2 2 2 2 2 2 2 2 2 3 2" xfId="407"/>
    <cellStyle name="常规 2 2 2 2 2 2 2 2 2 2 2 2 2 2 2 2 2 2 2 2 2 2 2 2 2 2 2 2 2 2 2 3 3" xfId="408"/>
    <cellStyle name="常规 2 2 2 2 2 2 2 2 2 2 2 2 2 2 2 2 2 2 2 2 2 2 2 2 2 2 2 2 2 2 2 4" xfId="409"/>
    <cellStyle name="常规 2 2 2 2 2 2 2 2 2 2 2 2 2 2 2 2 2 2 2 2 2 2 2 2 2 2 2 2 2 2 2 5" xfId="410"/>
    <cellStyle name="常规 2 2 2 2 2 2 2 2 2 2 2 2 2 2 2 2 2 2 2 2 2 2 2 2 2 2 2 2 2 2 3" xfId="411"/>
    <cellStyle name="常规 2 2 2 2 2 2 2 2 2 2 2 2 2 2 2 2 2 2 2 2 2 2 2 2 2 2 2 2 2 2 3 2" xfId="412"/>
    <cellStyle name="常规 2 2 2 2 2 2 2 2 2 2 2 2 2 2 2 2 2 2 2 2 2 2 2 2 2 2 2 2 2 2 3 3" xfId="413"/>
    <cellStyle name="常规 2 2 2 2 2 2 2 2 2 2 2 2 2 2 2 2 2 2 2 2 2 2 2 2 2 2 2 2 2 2 4" xfId="414"/>
    <cellStyle name="常规 2 2 2 2 2 2 2 2 2 2 2 2 2 2 2 2 2 2 2 2 2 2 2 2 2 2 2 2 2 2 5" xfId="415"/>
    <cellStyle name="常规 2 2 2 2 2 2 2 2 2 2 2 2 2 2 2 2 2 2 2 2 2 2 2 2 2 2 2 2 2 3" xfId="416"/>
    <cellStyle name="常规 2 2 2 2 2 2 2 2 2 2 2 2 2 2 2 2 2 2 2 2 2 2 2 2 2 2 2 2 2 4" xfId="417"/>
    <cellStyle name="常规 2 2 2 2 2 2 2 2 2 2 2 2 2 2 2 2 2 2 2 2 2 2 2 2 2 2 2 2 2 4 2" xfId="418"/>
    <cellStyle name="常规 2 2 2 2 2 2 2 2 2 2 2 2 2 2 2 2 2 2 2 2 2 2 2 2 2 2 2 2 2 4 3" xfId="419"/>
    <cellStyle name="常规 2 2 2 2 2 2 2 2 2 2 2 2 2 2 2 2 2 2 2 2 2 2 2 2 2 2 2 2 2 5" xfId="420"/>
    <cellStyle name="常规 2 2 2 2 2 2 2 2 2 2 2 2 2 2 2 2 2 2 2 2 2 2 2 2 2 2 2 2 2 6" xfId="421"/>
    <cellStyle name="常规 2 2 2 2 2 2 2 2 2 2 2 2 2 2 2 2 2 2 2 2 2 2 2 2 2 2 2 2 3" xfId="422"/>
    <cellStyle name="常规 2 2 2 2 2 2 2 2 2 2 2 2 2 2 2 2 2 2 2 2 2 2 2 2 2 2 2 2 4" xfId="423"/>
    <cellStyle name="常规 2 2 2 2 2 2 2 2 2 2 2 2 2 2 2 2 2 2 2 2 2 2 2 2 2 2 2 2 4 2" xfId="424"/>
    <cellStyle name="常规 2 2 2 2 2 2 2 2 2 2 2 2 2 2 2 2 2 2 2 2 2 2 2 2 2 2 2 2 4 3" xfId="425"/>
    <cellStyle name="常规 2 2 2 2 2 2 2 2 2 2 2 2 2 2 2 2 2 2 2 2 2 2 2 2 2 2 2 2 5" xfId="426"/>
    <cellStyle name="常规 2 2 2 2 2 2 2 2 2 2 2 2 2 2 2 2 2 2 2 2 2 2 2 2 2 2 2 2 6" xfId="427"/>
    <cellStyle name="常规 2 2 2 2 2 2 2 2 2 2 2 2 2 2 2 2 2 2 2 2 2 2 2 2 2 2 2 3" xfId="428"/>
    <cellStyle name="常规 2 2 2 2 2 2 2 2 2 2 2 2 2 2 2 2 2 2 2 2 2 2 2 2 2 2 2 4" xfId="429"/>
    <cellStyle name="常规 2 2 2 2 2 2 2 2 2 2 2 2 2 2 2 2 2 2 2 2 2 2 2 2 2 2 2 5" xfId="430"/>
    <cellStyle name="常规 2 2 2 2 2 2 2 2 2 2 2 2 2 2 2 2 2 2 2 2 2 2 2 2 2 2 2 5 2" xfId="431"/>
    <cellStyle name="常规 2 2 2 2 2 2 2 2 2 2 2 2 2 2 2 2 2 2 2 2 2 2 2 2 2 2 2 5 3" xfId="432"/>
    <cellStyle name="常规 2 2 2 2 2 2 2 2 2 2 2 2 2 2 2 2 2 2 2 2 2 2 2 2 2 2 2 6" xfId="433"/>
    <cellStyle name="常规 2 2 2 2 2 2 2 2 2 2 2 2 2 2 2 2 2 2 2 2 2 2 2 2 2 2 2 7" xfId="434"/>
    <cellStyle name="常规 2 2 2 2 2 2 2 2 2 2 2 2 2 2 2 2 2 2 2 2 2 2 2 2 2 2 3" xfId="435"/>
    <cellStyle name="常规 2 2 2 2 2 2 2 2 2 2 2 2 2 2 2 2 2 2 2 2 2 2 2 2 2 2 4" xfId="436"/>
    <cellStyle name="常规 2 2 2 2 2 2 2 2 2 2 2 2 2 2 2 2 2 2 2 2 2 2 2 2 2 2 5" xfId="437"/>
    <cellStyle name="常规 2 2 2 2 2 2 2 2 2 2 2 2 2 2 2 2 2 2 2 2 2 2 2 2 2 2 5 2" xfId="438"/>
    <cellStyle name="常规 2 2 2 2 2 2 2 2 2 2 2 2 2 2 2 2 2 2 2 2 2 2 2 2 2 2 5 3" xfId="439"/>
    <cellStyle name="常规 2 2 2 2 2 2 2 2 2 2 2 2 2 2 2 2 2 2 2 2 2 2 2 2 2 2 6" xfId="440"/>
    <cellStyle name="常规 2 2 2 2 2 2 2 2 2 2 2 2 2 2 2 2 2 2 2 2 2 2 2 2 2 2 7" xfId="441"/>
    <cellStyle name="常规 2 2 2 2 2 2 2 2 2 2 2 2 2 2 2 2 2 2 2 2 2 2 2 2 2 3" xfId="442"/>
    <cellStyle name="常规 2 2 2 2 2 2 2 2 2 2 2 2 2 2 2 2 2 2 2 2 2 2 2 2 2 4" xfId="443"/>
    <cellStyle name="常规 2 2 2 2 2 2 2 2 2 2 2 2 2 2 2 2 2 2 2 2 2 2 2 2 2 5" xfId="444"/>
    <cellStyle name="常规 2 2 2 2 2 2 2 2 2 2 2 2 2 2 2 2 2 2 2 2 2 2 2 2 2 6" xfId="445"/>
    <cellStyle name="常规 2 2 2 2 2 2 2 2 2 2 2 2 2 2 2 2 2 2 2 2 2 2 2 2 2 7" xfId="446"/>
    <cellStyle name="常规 2 2 2 2 2 2 2 2 2 2 2 2 2 2 2 2 2 2 2 2 2 2 2 2 2 8" xfId="447"/>
    <cellStyle name="常规 2 2 2 2 2 2 2 2 2 2 2 2 2 2 2 2 2 2 2 2 2 2 2 2 2 9" xfId="448"/>
    <cellStyle name="常规 2 2 2 2 2 2 2 2 2 2 2 2 2 2 2 2 2 2 2 2 2 2 2 2 2 9 2" xfId="449"/>
    <cellStyle name="常规 2 2 2 2 2 2 2 2 2 2 2 2 2 2 2 2 2 2 2 2 2 2 2 2 2 9 3" xfId="450"/>
    <cellStyle name="常规 2 2 2 2 2 2 2 2 2 2 2 2 2 2 2 2 2 2 2 2 2 2 2 2 3" xfId="451"/>
    <cellStyle name="常规 2 2 2 2 2 2 2 2 2 2 2 2 2 2 2 2 2 2 2 2 2 2 2 2 4" xfId="452"/>
    <cellStyle name="常规 2 2 2 2 2 2 2 2 2 2 2 2 2 2 2 2 2 2 2 2 2 2 2 2 5" xfId="453"/>
    <cellStyle name="常规 2 2 2 2 2 2 2 2 2 2 2 2 2 2 2 2 2 2 2 2 2 2 2 2 6" xfId="454"/>
    <cellStyle name="常规 2 2 2 2 2 2 2 2 2 2 2 2 2 2 2 2 2 2 2 2 2 2 2 2 7" xfId="455"/>
    <cellStyle name="常规 2 2 2 2 2 2 2 2 2 2 2 2 2 2 2 2 2 2 2 2 2 2 2 2 8" xfId="456"/>
    <cellStyle name="常规 2 2 2 2 2 2 2 2 2 2 2 2 2 2 2 2 2 2 2 2 2 2 2 2 9" xfId="457"/>
    <cellStyle name="常规 2 2 2 2 2 2 2 2 2 2 2 2 2 2 2 2 2 2 2 2 2 2 2 2 9 2" xfId="458"/>
    <cellStyle name="常规 2 2 2 2 2 2 2 2 2 2 2 2 2 2 2 2 2 2 2 2 2 2 2 2 9 3" xfId="459"/>
    <cellStyle name="常规 2 2 2 2 2 2 2 2 2 2 2 2 2 2 2 2 2 2 2 2 2 2 2 3" xfId="460"/>
    <cellStyle name="常规 2 2 2 2 2 2 2 2 2 2 2 2 2 2 2 2 2 2 2 2 2 2 2 4" xfId="461"/>
    <cellStyle name="常规 2 2 2 2 2 2 2 2 2 2 2 2 2 2 2 2 2 2 2 2 2 2 2 5" xfId="462"/>
    <cellStyle name="常规 2 2 2 2 2 2 2 2 2 2 2 2 2 2 2 2 2 2 2 2 2 2 2 6" xfId="463"/>
    <cellStyle name="常规 2 2 2 2 2 2 2 2 2 2 2 2 2 2 2 2 2 2 2 2 2 2 2 7" xfId="464"/>
    <cellStyle name="常规 2 2 2 2 2 2 2 2 2 2 2 2 2 2 2 2 2 2 2 2 2 2 2 8" xfId="465"/>
    <cellStyle name="常规 2 2 2 2 2 2 2 2 2 2 2 2 2 2 2 2 2 2 2 2 2 2 2 9" xfId="466"/>
    <cellStyle name="常规 2 2 2 2 2 2 2 2 2 2 2 2 2 2 2 2 2 2 2 2 2 2 3" xfId="467"/>
    <cellStyle name="常规 2 2 2 2 2 2 2 2 2 2 2 2 2 2 2 2 2 2 2 2 2 2 3 2" xfId="468"/>
    <cellStyle name="常规 2 2 2 2 2 2 2 2 2 2 2 2 2 2 2 2 2 2 2 2 2 2 3 2 2" xfId="469"/>
    <cellStyle name="常规 2 2 2 2 2 2 2 2 2 2 2 2 2 2 2 2 2 2 2 2 2 2 3 2 3" xfId="470"/>
    <cellStyle name="常规 2 2 2 2 2 2 2 2 2 2 2 2 2 2 2 2 2 2 2 2 2 2 3 2 4" xfId="471"/>
    <cellStyle name="常规 2 2 2 2 2 2 2 2 2 2 2 2 2 2 2 2 2 2 2 2 2 2 3 2 5" xfId="472"/>
    <cellStyle name="常规 2 2 2 2 2 2 2 2 2 2 2 2 2 2 2 2 2 2 2 2 2 2 3 3" xfId="473"/>
    <cellStyle name="常规 2 2 2 2 2 2 2 2 2 2 2 2 2 2 2 2 2 2 2 2 2 2 3 4" xfId="474"/>
    <cellStyle name="常规 2 2 2 2 2 2 2 2 2 2 2 2 2 2 2 2 2 2 2 2 2 2 3 5" xfId="475"/>
    <cellStyle name="常规 2 2 2 2 2 2 2 2 2 2 2 2 2 2 2 2 2 2 2 2 2 2 4" xfId="476"/>
    <cellStyle name="常规 2 2 2 2 2 2 2 2 2 2 2 2 2 2 2 2 2 2 2 2 2 2 5" xfId="477"/>
    <cellStyle name="常规 2 2 2 2 2 2 2 2 2 2 2 2 2 2 2 2 2 2 2 2 2 2 6" xfId="478"/>
    <cellStyle name="常规 2 2 2 2 2 2 2 2 2 2 2 2 2 2 2 2 2 2 2 2 2 2 7" xfId="479"/>
    <cellStyle name="常规 2 2 2 2 2 2 2 2 2 2 2 2 2 2 2 2 2 2 2 2 2 2 8" xfId="480"/>
    <cellStyle name="常规 2 2 2 2 2 2 2 2 2 2 2 2 2 2 2 2 2 2 2 2 2 2 9" xfId="481"/>
    <cellStyle name="常规 2 2 2 2 2 2 2 2 2 2 2 2 2 2 2 2 2 2 2 2 2 3" xfId="482"/>
    <cellStyle name="常规 2 2 2 2 2 2 2 2 2 2 2 2 2 2 2 2 2 2 2 2 2 4" xfId="483"/>
    <cellStyle name="常规 2 2 2 2 2 2 2 2 2 2 2 2 2 2 2 2 2 2 2 2 2 5" xfId="484"/>
    <cellStyle name="常规 2 2 2 2 2 2 2 2 2 2 2 2 2 2 2 2 2 2 2 2 2 6" xfId="485"/>
    <cellStyle name="常规 2 2 2 2 2 2 2 2 2 2 2 2 2 2 2 2 2 2 2 2 2 6 2" xfId="486"/>
    <cellStyle name="常规 2 2 2 2 2 2 2 2 2 2 2 2 2 2 2 2 2 2 2 2 2 6 2 2" xfId="487"/>
    <cellStyle name="常规 2 2 2 2 2 2 2 2 2 2 2 2 2 2 2 2 2 2 2 2 2 6 2 3" xfId="488"/>
    <cellStyle name="常规 2 2 2 2 2 2 2 2 2 2 2 2 2 2 2 2 2 2 2 2 2 6 2 4" xfId="489"/>
    <cellStyle name="常规 2 2 2 2 2 2 2 2 2 2 2 2 2 2 2 2 2 2 2 2 2 6 2 5" xfId="490"/>
    <cellStyle name="常规 2 2 2 2 2 2 2 2 2 2 2 2 2 2 2 2 2 2 2 2 2 6 3" xfId="491"/>
    <cellStyle name="常规 2 2 2 2 2 2 2 2 2 2 2 2 2 2 2 2 2 2 2 2 2 6 4" xfId="492"/>
    <cellStyle name="常规 2 2 2 2 2 2 2 2 2 2 2 2 2 2 2 2 2 2 2 2 2 6 5" xfId="493"/>
    <cellStyle name="常规 2 2 2 2 2 2 2 2 2 2 2 2 2 2 2 2 2 2 2 2 2 7" xfId="494"/>
    <cellStyle name="常规 2 2 2 2 2 2 2 2 2 2 2 2 2 2 2 2 2 2 2 2 2 8" xfId="495"/>
    <cellStyle name="常规 2 2 2 2 2 2 2 2 2 2 2 2 2 2 2 2 2 2 2 2 2 9" xfId="496"/>
    <cellStyle name="常规 2 2 2 2 2 2 2 2 2 2 2 2 2 2 2 2 2 2 2 2 3" xfId="497"/>
    <cellStyle name="常规 2 2 2 2 2 2 2 2 2 2 2 2 2 2 2 2 2 2 2 2 4" xfId="498"/>
    <cellStyle name="常规 2 2 2 2 2 2 2 2 2 2 2 2 2 2 2 2 2 2 2 2 5" xfId="499"/>
    <cellStyle name="常规 2 2 2 2 2 2 2 2 2 2 2 2 2 2 2 2 2 2 2 2 6" xfId="500"/>
    <cellStyle name="常规 2 2 2 2 2 2 2 2 2 2 2 2 2 2 2 2 2 2 2 2 6 2" xfId="501"/>
    <cellStyle name="常规 2 2 2 2 2 2 2 2 2 2 2 2 2 2 2 2 2 2 2 2 6 2 2" xfId="502"/>
    <cellStyle name="常规 2 2 2 2 2 2 2 2 2 2 2 2 2 2 2 2 2 2 2 2 6 2 3" xfId="503"/>
    <cellStyle name="常规 2 2 2 2 2 2 2 2 2 2 2 2 2 2 2 2 2 2 2 2 6 2 4" xfId="504"/>
    <cellStyle name="常规 2 2 2 2 2 2 2 2 2 2 2 2 2 2 2 2 2 2 2 2 6 2 5" xfId="505"/>
    <cellStyle name="常规 2 2 2 2 2 2 2 2 2 2 2 2 2 2 2 2 2 2 2 2 6 3" xfId="506"/>
    <cellStyle name="常规 2 2 2 2 2 2 2 2 2 2 2 2 2 2 2 2 2 2 2 2 6 4" xfId="507"/>
    <cellStyle name="常规 2 2 2 2 2 2 2 2 2 2 2 2 2 2 2 2 2 2 2 2 6 5" xfId="508"/>
    <cellStyle name="常规 2 2 2 2 2 2 2 2 2 2 2 2 2 2 2 2 2 2 2 2 7" xfId="509"/>
    <cellStyle name="常规 2 2 2 2 2 2 2 2 2 2 2 2 2 2 2 2 2 2 2 2 8" xfId="510"/>
    <cellStyle name="常规 2 2 2 2 2 2 2 2 2 2 2 2 2 2 2 2 2 2 2 2 9" xfId="511"/>
    <cellStyle name="常规 2 2 2 2 2 2 2 2 2 2 2 2 2 2 2 2 2 2 2 20" xfId="512"/>
    <cellStyle name="常规 2 2 2 2 2 2 2 2 2 2 2 2 2 2 2 2 2 2 2 3" xfId="513"/>
    <cellStyle name="常规 2 2 2 2 2 2 2 2 2 2 2 2 2 2 2 2 2 2 2 4" xfId="514"/>
    <cellStyle name="常规 2 2 2 2 2 2 2 2 2 2 2 2 2 2 2 2 2 2 2 5" xfId="515"/>
    <cellStyle name="常规 2 2 2 2 2 2 2 2 2 2 2 2 2 2 2 2 2 2 2 6" xfId="516"/>
    <cellStyle name="常规 2 2 2 2 2 2 2 2 2 2 2 2 2 2 2 2 2 2 2 7" xfId="517"/>
    <cellStyle name="常规 2 2 2 2 2 2 2 2 2 2 2 2 2 2 2 2 2 2 2 7 2" xfId="518"/>
    <cellStyle name="常规 2 2 2 2 2 2 2 2 2 2 2 2 2 2 2 2 2 2 2 7 2 2" xfId="519"/>
    <cellStyle name="常规 2 2 2 2 2 2 2 2 2 2 2 2 2 2 2 2 2 2 2 7 2 3" xfId="520"/>
    <cellStyle name="常规 2 2 2 2 2 2 2 2 2 2 2 2 2 2 2 2 2 2 2 7 2 4" xfId="521"/>
    <cellStyle name="常规 2 2 2 2 2 2 2 2 2 2 2 2 2 2 2 2 2 2 2 7 2 5" xfId="522"/>
    <cellStyle name="常规 2 2 2 2 2 2 2 2 2 2 2 2 2 2 2 2 2 2 2 7 3" xfId="523"/>
    <cellStyle name="常规 2 2 2 2 2 2 2 2 2 2 2 2 2 2 2 2 2 2 2 7 4" xfId="524"/>
    <cellStyle name="常规 2 2 2 2 2 2 2 2 2 2 2 2 2 2 2 2 2 2 2 7 5" xfId="525"/>
    <cellStyle name="常规 2 2 2 2 2 2 2 2 2 2 2 2 2 2 2 2 2 2 2 8" xfId="526"/>
    <cellStyle name="常规 2 2 2 2 2 2 2 2 2 2 2 2 2 2 2 2 2 2 2 9" xfId="527"/>
    <cellStyle name="常规 2 2 2 2 2 2 2 2 2 2 2 2 2 2 2 2 2 2 20" xfId="528"/>
    <cellStyle name="常规 2 2 2 2 2 2 2 2 2 2 2 2 2 2 2 2 2 2 21" xfId="529"/>
    <cellStyle name="常规 2 2 2 2 2 2 2 2 2 2 2 2 2 2 2 2 2 2 22" xfId="530"/>
    <cellStyle name="常规 2 2 2 2 2 2 2 2 2 2 2 2 2 2 2 2 2 2 23" xfId="531"/>
    <cellStyle name="常规 2 2 2 2 2 2 2 2 2 2 2 2 2 2 2 2 2 2 23 2" xfId="532"/>
    <cellStyle name="常规 2 2 2 2 2 2 2 2 2 2 2 2 2 2 2 2 2 2 23 3" xfId="533"/>
    <cellStyle name="常规 2 2 2 2 2 2 2 2 2 2 2 2 2 2 2 2 2 2 24" xfId="534"/>
    <cellStyle name="常规 2 2 2 2 2 2 2 2 2 2 2 2 2 2 2 2 2 2 25" xfId="535"/>
    <cellStyle name="常规 2 2 2 2 2 2 2 2 2 2 2 2 2 2 2 2 2 2 3" xfId="536"/>
    <cellStyle name="常规 2 2 2 2 2 2 2 2 2 2 2 2 2 2 2 2 2 2 4" xfId="537"/>
    <cellStyle name="常规 2 2 2 2 2 2 2 2 2 2 2 2 2 2 2 2 2 2 5" xfId="538"/>
    <cellStyle name="常规 2 2 2 2 2 2 2 2 2 2 2 2 2 2 2 2 2 2 6" xfId="539"/>
    <cellStyle name="常规 2 2 2 2 2 2 2 2 2 2 2 2 2 2 2 2 2 2 7" xfId="540"/>
    <cellStyle name="常规 2 2 2 2 2 2 2 2 2 2 2 2 2 2 2 2 2 2 8" xfId="541"/>
    <cellStyle name="常规 2 2 2 2 2 2 2 2 2 2 2 2 2 2 2 2 2 2 9" xfId="542"/>
    <cellStyle name="常规 2 2 2 2 2 2 2 2 2 2 2 2 2 2 2 2 2 20" xfId="543"/>
    <cellStyle name="常规 2 2 2 2 2 2 2 2 2 2 2 2 2 2 2 2 2 21" xfId="544"/>
    <cellStyle name="常规 2 2 2 2 2 2 2 2 2 2 2 2 2 2 2 2 2 22" xfId="545"/>
    <cellStyle name="常规 2 2 2 2 2 2 2 2 2 2 2 2 2 2 2 2 2 23" xfId="546"/>
    <cellStyle name="常规 2 2 2 2 2 2 2 2 2 2 2 2 2 2 2 2 2 23 2" xfId="547"/>
    <cellStyle name="常规 2 2 2 2 2 2 2 2 2 2 2 2 2 2 2 2 2 23 3" xfId="548"/>
    <cellStyle name="常规 2 2 2 2 2 2 2 2 2 2 2 2 2 2 2 2 2 24" xfId="549"/>
    <cellStyle name="常规 2 2 2 2 2 2 2 2 2 2 2 2 2 2 2 2 2 25" xfId="550"/>
    <cellStyle name="常规 2 2 2 2 2 2 2 2 2 2 2 2 2 2 2 2 2 3" xfId="551"/>
    <cellStyle name="常规 2 2 2 2 2 2 2 2 2 2 2 2 2 2 2 2 2 3 2" xfId="552"/>
    <cellStyle name="常规 2 2 2 2 2 2 2 2 2 2 2 2 2 2 2 2 2 4" xfId="553"/>
    <cellStyle name="常规 2 2 2 2 2 2 2 2 2 2 2 2 2 2 2 2 2 5" xfId="554"/>
    <cellStyle name="常规 2 2 2 2 2 2 2 2 2 2 2 2 2 2 2 2 2 6" xfId="555"/>
    <cellStyle name="常规 2 2 2 2 2 2 2 2 2 2 2 2 2 2 2 2 2 7" xfId="556"/>
    <cellStyle name="常规 2 2 2 2 2 2 2 2 2 2 2 2 2 2 2 2 2 8" xfId="557"/>
    <cellStyle name="常规 2 2 2 2 2 2 2 2 2 2 2 2 2 2 2 2 2 9" xfId="558"/>
    <cellStyle name="常规 2 2 2 2 2 2 2 2 2 2 2 2 2 2 2 2 20" xfId="559"/>
    <cellStyle name="常规 2 2 2 2 2 2 2 2 2 2 2 2 2 2 2 2 21" xfId="560"/>
    <cellStyle name="常规 2 2 2 2 2 2 2 2 2 2 2 2 2 2 2 2 22" xfId="561"/>
    <cellStyle name="常规 2 2 2 2 2 2 2 2 2 2 2 2 2 2 2 2 23" xfId="562"/>
    <cellStyle name="常规 2 2 2 2 2 2 2 2 2 2 2 2 2 2 2 2 24" xfId="563"/>
    <cellStyle name="常规 2 2 2 2 2 2 2 2 2 2 2 2 2 2 2 2 25" xfId="564"/>
    <cellStyle name="常规 2 2 2 2 2 2 2 2 2 2 2 2 2 2 2 2 26" xfId="565"/>
    <cellStyle name="常规 2 2 2 2 2 2 2 2 2 2 2 2 2 2 2 2 27" xfId="566"/>
    <cellStyle name="常规 2 2 2 2 2 2 2 2 2 2 2 2 2 2 2 2 28" xfId="567"/>
    <cellStyle name="常规 2 2 2 2 2 2 2 2 2 2 2 2 2 2 2 2 29" xfId="568"/>
    <cellStyle name="常规 2 2 2 2 2 2 2 2 2 2 2 2 2 2 2 2 29 2" xfId="569"/>
    <cellStyle name="常规 2 2 2 2 2 2 2 2 2 2 2 2 2 2 2 2 29 3" xfId="570"/>
    <cellStyle name="常规 2 2 2 2 2 2 2 2 2 2 2 2 2 2 2 2 3" xfId="571"/>
    <cellStyle name="常规 2 2 2 2 2 2 2 2 2 2 2 2 2 2 2 2 30" xfId="572"/>
    <cellStyle name="常规 2 2 2 2 2 2 2 2 2 2 2 2 2 2 2 2 31" xfId="573"/>
    <cellStyle name="常规 2 2 2 2 2 2 2 2 2 2 2 2 2 2 2 2 4" xfId="574"/>
    <cellStyle name="常规 2 2 2 2 2 2 2 2 2 2 2 2 2 2 2 2 5" xfId="575"/>
    <cellStyle name="常规 2 2 2 2 2 2 2 2 2 2 2 2 2 2 2 2 6" xfId="576"/>
    <cellStyle name="常规 2 2 2 2 2 2 2 2 2 2 2 2 2 2 2 2 7" xfId="577"/>
    <cellStyle name="常规 2 2 2 2 2 2 2 2 2 2 2 2 2 2 2 2 8" xfId="578"/>
    <cellStyle name="常规 2 2 2 2 2 2 2 2 2 2 2 2 2 2 2 2 8 2" xfId="579"/>
    <cellStyle name="常规 2 2 2 2 2 2 2 2 2 2 2 2 2 2 2 2 9" xfId="580"/>
    <cellStyle name="常规 2 2 2 2 2 2 2 2 2 2 2 2 2 2 2 20" xfId="581"/>
    <cellStyle name="常规 2 2 2 2 2 2 2 2 2 2 2 2 2 2 2 21" xfId="582"/>
    <cellStyle name="常规 2 2 2 2 2 2 2 2 2 2 2 2 2 2 2 22" xfId="583"/>
    <cellStyle name="常规 2 2 2 2 2 2 2 2 2 2 2 2 2 2 2 23" xfId="584"/>
    <cellStyle name="常规 2 2 2 2 2 2 2 2 2 2 2 2 2 2 2 24" xfId="585"/>
    <cellStyle name="常规 2 2 2 2 2 2 2 2 2 2 2 2 2 2 2 25" xfId="586"/>
    <cellStyle name="常规 2 2 2 2 2 2 2 2 2 2 2 2 2 2 2 26" xfId="587"/>
    <cellStyle name="常规 2 2 2 2 2 2 2 2 2 2 2 2 2 2 2 27" xfId="588"/>
    <cellStyle name="常规 2 2 2 2 2 2 2 2 2 2 2 2 2 2 2 28" xfId="589"/>
    <cellStyle name="常规 2 2 2 2 2 2 2 2 2 2 2 2 2 2 2 29" xfId="590"/>
    <cellStyle name="常规 2 2 2 2 2 2 2 2 2 2 2 2 2 2 2 3" xfId="591"/>
    <cellStyle name="常规 2 2 2 2 2 2 2 2 2 2 2 2 2 2 2 30" xfId="592"/>
    <cellStyle name="常规 2 2 2 2 2 2 2 2 2 2 2 2 2 2 2 31" xfId="593"/>
    <cellStyle name="常规 2 2 2 2 2 2 2 2 2 2 2 2 2 2 2 32" xfId="594"/>
    <cellStyle name="常规 2 2 2 2 2 2 2 2 2 2 2 2 2 2 2 33" xfId="595"/>
    <cellStyle name="常规 2 2 2 2 2 2 2 2 2 2 2 2 2 2 2 34" xfId="596"/>
    <cellStyle name="常规 2 2 2 2 2 2 2 2 2 2 2 2 2 2 2 35" xfId="597"/>
    <cellStyle name="常规 2 2 2 2 2 2 2 2 2 2 2 2 2 2 2 35 2" xfId="598"/>
    <cellStyle name="常规 2 2 2 2 2 2 2 2 2 2 2 2 2 2 2 35 2 2" xfId="599"/>
    <cellStyle name="常规 2 2 2 2 2 2 2 2 2 2 2 2 2 2 2 35 2 2 2" xfId="600"/>
    <cellStyle name="常规 2 2 2 2 2 2 2 2 2 2 2 2 2 2 2 35 2 3" xfId="601"/>
    <cellStyle name="常规 2 2 2 2 2 2 2 2 2 2 2 2 2 2 2 35 2 4" xfId="602"/>
    <cellStyle name="常规 2 2 2 2 2 2 2 2 2 2 2 2 2 2 2 35 2 5" xfId="603"/>
    <cellStyle name="常规 2 2 2 2 2 2 2 2 2 2 2 2 2 2 2 35 2 6" xfId="604"/>
    <cellStyle name="常规 2 2 2 2 2 2 2 2 2 2 2 2 2 2 2 35 2 7" xfId="605"/>
    <cellStyle name="常规 2 2 2 2 2 2 2 2 2 2 2 2 2 2 2 35 3" xfId="606"/>
    <cellStyle name="常规 2 2 2 2 2 2 2 2 2 2 2 2 2 2 2 35 3 2" xfId="607"/>
    <cellStyle name="常规 2 2 2 2 2 2 2 2 2 2 2 2 2 2 2 35 4" xfId="608"/>
    <cellStyle name="常规 2 2 2 2 2 2 2 2 2 2 2 2 2 2 2 35 5" xfId="609"/>
    <cellStyle name="常规 2 2 2 2 2 2 2 2 2 2 2 2 2 2 2 35 6" xfId="610"/>
    <cellStyle name="常规 2 2 2 2 2 2 2 2 2 2 2 2 2 2 2 35 7" xfId="611"/>
    <cellStyle name="常规 2 2 2 2 2 2 2 2 2 2 2 2 2 2 2 36" xfId="612"/>
    <cellStyle name="常规 2 2 2 2 2 2 2 2 2 2 2 2 2 2 2 37" xfId="613"/>
    <cellStyle name="常规 2 2 2 2 2 2 2 2 2 2 2 2 2 2 2 38" xfId="614"/>
    <cellStyle name="常规 2 2 2 2 2 2 2 2 2 2 2 2 2 2 2 39" xfId="615"/>
    <cellStyle name="常规 2 2 2 2 2 2 2 2 2 2 2 2 2 2 2 4" xfId="616"/>
    <cellStyle name="常规 2 2 2 2 2 2 2 2 2 2 2 2 2 2 2 40" xfId="617"/>
    <cellStyle name="常规 2 2 2 2 2 2 2 2 2 2 2 2 2 2 2 40 2" xfId="618"/>
    <cellStyle name="常规 2 2 2 2 2 2 2 2 2 2 2 2 2 2 2 41" xfId="619"/>
    <cellStyle name="常规 2 2 2 2 2 2 2 2 2 2 2 2 2 2 2 42" xfId="620"/>
    <cellStyle name="常规 2 2 2 2 2 2 2 2 2 2 2 2 2 2 2 43" xfId="621"/>
    <cellStyle name="常规 2 2 2 2 2 2 2 2 2 2 2 2 2 2 2 44" xfId="622"/>
    <cellStyle name="常规 2 2 2 2 2 2 2 2 2 2 2 2 2 2 2 45" xfId="623"/>
    <cellStyle name="常规 2 2 2 2 2 2 2 2 2 2 2 2 2 2 2 46" xfId="624"/>
    <cellStyle name="常规 2 2 2 2 2 2 2 2 2 2 2 2 2 2 2 47" xfId="625"/>
    <cellStyle name="常规 2 2 2 2 2 2 2 2 2 2 2 2 2 2 2 48" xfId="626"/>
    <cellStyle name="常规 2 2 2 2 2 2 2 2 2 2 2 2 2 2 2 49" xfId="627"/>
    <cellStyle name="常规 2 2 2 2 2 2 2 2 2 2 2 2 2 2 2 5" xfId="628"/>
    <cellStyle name="常规 2 2 2 2 2 2 2 2 2 2 2 2 2 2 2 50" xfId="629"/>
    <cellStyle name="常规 2 2 2 2 2 2 2 2 2 2 2 2 2 2 2 51" xfId="630"/>
    <cellStyle name="常规 2 2 2 2 2 2 2 2 2 2 2 2 2 2 2 52" xfId="631"/>
    <cellStyle name="常规 2 2 2 2 2 2 2 2 2 2 2 2 2 2 2 53" xfId="632"/>
    <cellStyle name="常规 2 2 2 2 2 2 2 2 2 2 2 2 2 2 2 54" xfId="633"/>
    <cellStyle name="常规 2 2 2 2 2 2 2 2 2 2 2 2 2 2 2 55" xfId="634"/>
    <cellStyle name="常规 2 2 2 2 2 2 2 2 2 2 2 2 2 2 2 56" xfId="635"/>
    <cellStyle name="常规 2 2 2 2 2 2 2 2 2 2 2 2 2 2 2 57" xfId="636"/>
    <cellStyle name="常规 2 2 2 2 2 2 2 2 2 2 2 2 2 2 2 58" xfId="637"/>
    <cellStyle name="常规 2 2 2 2 2 2 2 2 2 2 2 2 2 2 2 59" xfId="638"/>
    <cellStyle name="常规 2 2 2 2 2 2 2 2 2 2 2 2 2 2 2 59 2" xfId="639"/>
    <cellStyle name="常规 2 2 2 2 2 2 2 2 2 2 2 2 2 2 2 59 2 2" xfId="640"/>
    <cellStyle name="常规 2 2 2 2 2 2 2 2 2 2 2 2 2 2 2 59 2 3" xfId="641"/>
    <cellStyle name="常规 2 2 2 2 2 2 2 2 2 2 2 2 2 2 2 59 2 4" xfId="642"/>
    <cellStyle name="常规 2 2 2 2 2 2 2 2 2 2 2 2 2 2 2 59 2 5" xfId="643"/>
    <cellStyle name="常规 2 2 2 2 2 2 2 2 2 2 2 2 2 2 2 59 3" xfId="644"/>
    <cellStyle name="常规 2 2 2 2 2 2 2 2 2 2 2 2 2 2 2 59 4" xfId="645"/>
    <cellStyle name="常规 2 2 2 2 2 2 2 2 2 2 2 2 2 2 2 59 5" xfId="646"/>
    <cellStyle name="常规 2 2 2 2 2 2 2 2 2 2 2 2 2 2 2 6" xfId="647"/>
    <cellStyle name="常规 2 2 2 2 2 2 2 2 2 2 2 2 2 2 2 60" xfId="648"/>
    <cellStyle name="常规 2 2 2 2 2 2 2 2 2 2 2 2 2 2 2 61" xfId="649"/>
    <cellStyle name="常规 2 2 2 2 2 2 2 2 2 2 2 2 2 2 2 62" xfId="650"/>
    <cellStyle name="常规 2 2 2 2 2 2 2 2 2 2 2 2 2 2 2 63" xfId="651"/>
    <cellStyle name="常规 2 2 2 2 2 2 2 2 2 2 2 2 2 2 2 64" xfId="652"/>
    <cellStyle name="常规 2 2 2 2 2 2 2 2 2 2 2 2 2 2 2 65" xfId="653"/>
    <cellStyle name="常规 2 2 2 2 2 2 2 2 2 2 2 2 2 2 2 66" xfId="654"/>
    <cellStyle name="常规 2 2 2 2 2 2 2 2 2 2 2 2 2 2 2 67" xfId="655"/>
    <cellStyle name="常规 2 2 2 2 2 2 2 2 2 2 2 2 2 2 2 68" xfId="656"/>
    <cellStyle name="常规 2 2 2 2 2 2 2 2 2 2 2 2 2 2 2 69" xfId="657"/>
    <cellStyle name="常规 2 2 2 2 2 2 2 2 2 2 2 2 2 2 2 7" xfId="658"/>
    <cellStyle name="常规 2 2 2 2 2 2 2 2 2 2 2 2 2 2 2 70" xfId="659"/>
    <cellStyle name="常规 2 2 2 2 2 2 2 2 2 2 2 2 2 2 2 70 2" xfId="660"/>
    <cellStyle name="常规 2 2 2 2 2 2 2 2 2 2 2 2 2 2 2 70 3" xfId="661"/>
    <cellStyle name="常规 2 2 2 2 2 2 2 2 2 2 2 2 2 2 2 71" xfId="662"/>
    <cellStyle name="常规 2 2 2 2 2 2 2 2 2 2 2 2 2 2 2 72" xfId="663"/>
    <cellStyle name="常规 2 2 2 2 2 2 2 2 2 2 2 2 2 2 2 8" xfId="664"/>
    <cellStyle name="常规 2 2 2 2 2 2 2 2 2 2 2 2 2 2 2 9" xfId="665"/>
    <cellStyle name="常规 2 2 2 2 2 2 2 2 2 2 2 2 2 2 20" xfId="666"/>
    <cellStyle name="常规 2 2 2 2 2 2 2 2 2 2 2 2 2 2 21" xfId="667"/>
    <cellStyle name="常规 2 2 2 2 2 2 2 2 2 2 2 2 2 2 22" xfId="668"/>
    <cellStyle name="常规 2 2 2 2 2 2 2 2 2 2 2 2 2 2 23" xfId="669"/>
    <cellStyle name="常规 2 2 2 2 2 2 2 2 2 2 2 2 2 2 24" xfId="670"/>
    <cellStyle name="常规 2 2 2 2 2 2 2 2 2 2 2 2 2 2 25" xfId="671"/>
    <cellStyle name="常规 2 2 2 2 2 2 2 2 2 2 2 2 2 2 26" xfId="672"/>
    <cellStyle name="常规 2 2 2 2 2 2 2 2 2 2 2 2 2 2 27" xfId="673"/>
    <cellStyle name="常规 2 2 2 2 2 2 2 2 2 2 2 2 2 2 28" xfId="674"/>
    <cellStyle name="常规 2 2 2 2 2 2 2 2 2 2 2 2 2 2 29" xfId="675"/>
    <cellStyle name="常规 2 2 2 2 2 2 2 2 2 2 2 2 2 2 3" xfId="676"/>
    <cellStyle name="常规 2 2 2 2 2 2 2 2 2 2 2 2 2 2 30" xfId="677"/>
    <cellStyle name="常规 2 2 2 2 2 2 2 2 2 2 2 2 2 2 31" xfId="678"/>
    <cellStyle name="常规 2 2 2 2 2 2 2 2 2 2 2 2 2 2 32" xfId="679"/>
    <cellStyle name="常规 2 2 2 2 2 2 2 2 2 2 2 2 2 2 33" xfId="680"/>
    <cellStyle name="常规 2 2 2 2 2 2 2 2 2 2 2 2 2 2 34" xfId="681"/>
    <cellStyle name="常规 2 2 2 2 2 2 2 2 2 2 2 2 2 2 35" xfId="682"/>
    <cellStyle name="常规 2 2 2 2 2 2 2 2 2 2 2 2 2 2 36" xfId="683"/>
    <cellStyle name="常规 2 2 2 2 2 2 2 2 2 2 2 2 2 2 36 2" xfId="684"/>
    <cellStyle name="常规 2 2 2 2 2 2 2 2 2 2 2 2 2 2 36 2 2" xfId="685"/>
    <cellStyle name="常规 2 2 2 2 2 2 2 2 2 2 2 2 2 2 36 2 2 2" xfId="686"/>
    <cellStyle name="常规 2 2 2 2 2 2 2 2 2 2 2 2 2 2 36 2 3" xfId="687"/>
    <cellStyle name="常规 2 2 2 2 2 2 2 2 2 2 2 2 2 2 36 2 4" xfId="688"/>
    <cellStyle name="常规 2 2 2 2 2 2 2 2 2 2 2 2 2 2 36 2 5" xfId="689"/>
    <cellStyle name="常规 2 2 2 2 2 2 2 2 2 2 2 2 2 2 36 2 6" xfId="690"/>
    <cellStyle name="常规 2 2 2 2 2 2 2 2 2 2 2 2 2 2 36 2 7" xfId="691"/>
    <cellStyle name="常规 2 2 2 2 2 2 2 2 2 2 2 2 2 2 36 3" xfId="692"/>
    <cellStyle name="常规 2 2 2 2 2 2 2 2 2 2 2 2 2 2 36 3 2" xfId="693"/>
    <cellStyle name="常规 2 2 2 2 2 2 2 2 2 2 2 2 2 2 36 4" xfId="694"/>
    <cellStyle name="常规 2 2 2 2 2 2 2 2 2 2 2 2 2 2 36 5" xfId="695"/>
    <cellStyle name="常规 2 2 2 2 2 2 2 2 2 2 2 2 2 2 36 6" xfId="696"/>
    <cellStyle name="常规 2 2 2 2 2 2 2 2 2 2 2 2 2 2 36 7" xfId="697"/>
    <cellStyle name="常规 2 2 2 2 2 2 2 2 2 2 2 2 2 2 37" xfId="698"/>
    <cellStyle name="常规 2 2 2 2 2 2 2 2 2 2 2 2 2 2 38" xfId="699"/>
    <cellStyle name="常规 2 2 2 2 2 2 2 2 2 2 2 2 2 2 39" xfId="700"/>
    <cellStyle name="常规 2 2 2 2 2 2 2 2 2 2 2 2 2 2 4" xfId="701"/>
    <cellStyle name="常规 2 2 2 2 2 2 2 2 2 2 2 2 2 2 4 2" xfId="702"/>
    <cellStyle name="常规 2 2 2 2 2 2 2 2 2 2 2 2 2 2 4 2 2" xfId="703"/>
    <cellStyle name="常规 2 2 2 2 2 2 2 2 2 2 2 2 2 2 4 2 2 2" xfId="704"/>
    <cellStyle name="常规 2 2 2 2 2 2 2 2 2 2 2 2 2 2 4 2 2 2 2" xfId="705"/>
    <cellStyle name="常规 2 2 2 2 2 2 2 2 2 2 2 2 2 2 4 2 2 2 3" xfId="706"/>
    <cellStyle name="常规 2 2 2 2 2 2 2 2 2 2 2 2 2 2 4 2 2 2 4" xfId="707"/>
    <cellStyle name="常规 2 2 2 2 2 2 2 2 2 2 2 2 2 2 4 2 2 2 5" xfId="708"/>
    <cellStyle name="常规 2 2 2 2 2 2 2 2 2 2 2 2 2 2 4 2 2 3" xfId="709"/>
    <cellStyle name="常规 2 2 2 2 2 2 2 2 2 2 2 2 2 2 4 2 2 4" xfId="710"/>
    <cellStyle name="常规 2 2 2 2 2 2 2 2 2 2 2 2 2 2 4 2 2 5" xfId="711"/>
    <cellStyle name="常规 2 2 2 2 2 2 2 2 2 2 2 2 2 2 4 2 3" xfId="712"/>
    <cellStyle name="常规 2 2 2 2 2 2 2 2 2 2 2 2 2 2 4 2 4" xfId="713"/>
    <cellStyle name="常规 2 2 2 2 2 2 2 2 2 2 2 2 2 2 4 2 5" xfId="714"/>
    <cellStyle name="常规 2 2 2 2 2 2 2 2 2 2 2 2 2 2 4 2 6" xfId="715"/>
    <cellStyle name="常规 2 2 2 2 2 2 2 2 2 2 2 2 2 2 4 2 7" xfId="716"/>
    <cellStyle name="常规 2 2 2 2 2 2 2 2 2 2 2 2 2 2 4 2 8" xfId="717"/>
    <cellStyle name="常规 2 2 2 2 2 2 2 2 2 2 2 2 2 2 4 2 9" xfId="718"/>
    <cellStyle name="常规 2 2 2 2 2 2 2 2 2 2 2 2 2 2 4 3" xfId="719"/>
    <cellStyle name="常规 2 2 2 2 2 2 2 2 2 2 2 2 2 2 4 3 2" xfId="720"/>
    <cellStyle name="常规 2 2 2 2 2 2 2 2 2 2 2 2 2 2 4 3 2 2" xfId="721"/>
    <cellStyle name="常规 2 2 2 2 2 2 2 2 2 2 2 2 2 2 4 3 2 3" xfId="722"/>
    <cellStyle name="常规 2 2 2 2 2 2 2 2 2 2 2 2 2 2 4 3 2 4" xfId="723"/>
    <cellStyle name="常规 2 2 2 2 2 2 2 2 2 2 2 2 2 2 4 3 2 5" xfId="724"/>
    <cellStyle name="常规 2 2 2 2 2 2 2 2 2 2 2 2 2 2 4 3 3" xfId="725"/>
    <cellStyle name="常规 2 2 2 2 2 2 2 2 2 2 2 2 2 2 4 3 4" xfId="726"/>
    <cellStyle name="常规 2 2 2 2 2 2 2 2 2 2 2 2 2 2 4 3 5" xfId="727"/>
    <cellStyle name="常规 2 2 2 2 2 2 2 2 2 2 2 2 2 2 4 4" xfId="728"/>
    <cellStyle name="常规 2 2 2 2 2 2 2 2 2 2 2 2 2 2 4 5" xfId="729"/>
    <cellStyle name="常规 2 2 2 2 2 2 2 2 2 2 2 2 2 2 4 6" xfId="730"/>
    <cellStyle name="常规 2 2 2 2 2 2 2 2 2 2 2 2 2 2 4 7" xfId="731"/>
    <cellStyle name="常规 2 2 2 2 2 2 2 2 2 2 2 2 2 2 4 8" xfId="732"/>
    <cellStyle name="常规 2 2 2 2 2 2 2 2 2 2 2 2 2 2 4 9" xfId="733"/>
    <cellStyle name="常规 2 2 2 2 2 2 2 2 2 2 2 2 2 2 40" xfId="734"/>
    <cellStyle name="常规 2 2 2 2 2 2 2 2 2 2 2 2 2 2 41" xfId="735"/>
    <cellStyle name="常规 2 2 2 2 2 2 2 2 2 2 2 2 2 2 41 2" xfId="736"/>
    <cellStyle name="常规 2 2 2 2 2 2 2 2 2 2 2 2 2 2 42" xfId="737"/>
    <cellStyle name="常规 2 2 2 2 2 2 2 2 2 2 2 2 2 2 43" xfId="738"/>
    <cellStyle name="常规 2 2 2 2 2 2 2 2 2 2 2 2 2 2 44" xfId="739"/>
    <cellStyle name="常规 2 2 2 2 2 2 2 2 2 2 2 2 2 2 45" xfId="740"/>
    <cellStyle name="常规 2 2 2 2 2 2 2 2 2 2 2 2 2 2 46" xfId="741"/>
    <cellStyle name="常规 2 2 2 2 2 2 2 2 2 2 2 2 2 2 47" xfId="742"/>
    <cellStyle name="常规 2 2 2 2 2 2 2 2 2 2 2 2 2 2 48" xfId="743"/>
    <cellStyle name="常规 2 2 2 2 2 2 2 2 2 2 2 2 2 2 49" xfId="744"/>
    <cellStyle name="常规 2 2 2 2 2 2 2 2 2 2 2 2 2 2 5" xfId="745"/>
    <cellStyle name="常规 2 2 2 2 2 2 2 2 2 2 2 2 2 2 50" xfId="746"/>
    <cellStyle name="常规 2 2 2 2 2 2 2 2 2 2 2 2 2 2 51" xfId="747"/>
    <cellStyle name="常规 2 2 2 2 2 2 2 2 2 2 2 2 2 2 52" xfId="748"/>
    <cellStyle name="常规 2 2 2 2 2 2 2 2 2 2 2 2 2 2 53" xfId="749"/>
    <cellStyle name="常规 2 2 2 2 2 2 2 2 2 2 2 2 2 2 54" xfId="750"/>
    <cellStyle name="常规 2 2 2 2 2 2 2 2 2 2 2 2 2 2 55" xfId="751"/>
    <cellStyle name="常规 2 2 2 2 2 2 2 2 2 2 2 2 2 2 56" xfId="752"/>
    <cellStyle name="常规 2 2 2 2 2 2 2 2 2 2 2 2 2 2 57" xfId="753"/>
    <cellStyle name="常规 2 2 2 2 2 2 2 2 2 2 2 2 2 2 58" xfId="754"/>
    <cellStyle name="常规 2 2 2 2 2 2 2 2 2 2 2 2 2 2 59" xfId="755"/>
    <cellStyle name="常规 2 2 2 2 2 2 2 2 2 2 2 2 2 2 6" xfId="756"/>
    <cellStyle name="常规 2 2 2 2 2 2 2 2 2 2 2 2 2 2 60" xfId="757"/>
    <cellStyle name="常规 2 2 2 2 2 2 2 2 2 2 2 2 2 2 60 2" xfId="758"/>
    <cellStyle name="常规 2 2 2 2 2 2 2 2 2 2 2 2 2 2 60 2 2" xfId="759"/>
    <cellStyle name="常规 2 2 2 2 2 2 2 2 2 2 2 2 2 2 60 2 3" xfId="760"/>
    <cellStyle name="常规 2 2 2 2 2 2 2 2 2 2 2 2 2 2 60 2 4" xfId="761"/>
    <cellStyle name="常规 2 2 2 2 2 2 2 2 2 2 2 2 2 2 60 2 5" xfId="762"/>
    <cellStyle name="常规 2 2 2 2 2 2 2 2 2 2 2 2 2 2 60 3" xfId="763"/>
    <cellStyle name="常规 2 2 2 2 2 2 2 2 2 2 2 2 2 2 60 4" xfId="764"/>
    <cellStyle name="常规 2 2 2 2 2 2 2 2 2 2 2 2 2 2 60 5" xfId="765"/>
    <cellStyle name="常规 2 2 2 2 2 2 2 2 2 2 2 2 2 2 61" xfId="766"/>
    <cellStyle name="常规 2 2 2 2 2 2 2 2 2 2 2 2 2 2 62" xfId="767"/>
    <cellStyle name="常规 2 2 2 2 2 2 2 2 2 2 2 2 2 2 63" xfId="768"/>
    <cellStyle name="常规 2 2 2 2 2 2 2 2 2 2 2 2 2 2 64" xfId="769"/>
    <cellStyle name="常规 2 2 2 2 2 2 2 2 2 2 2 2 2 2 65" xfId="770"/>
    <cellStyle name="常规 2 2 2 2 2 2 2 2 2 2 2 2 2 2 66" xfId="771"/>
    <cellStyle name="常规 2 2 2 2 2 2 2 2 2 2 2 2 2 2 67" xfId="772"/>
    <cellStyle name="常规 2 2 2 2 2 2 2 2 2 2 2 2 2 2 68" xfId="773"/>
    <cellStyle name="常规 2 2 2 2 2 2 2 2 2 2 2 2 2 2 69" xfId="774"/>
    <cellStyle name="常规 2 2 2 2 2 2 2 2 2 2 2 2 2 2 7" xfId="775"/>
    <cellStyle name="常规 2 2 2 2 2 2 2 2 2 2 2 2 2 2 70" xfId="776"/>
    <cellStyle name="常规 2 2 2 2 2 2 2 2 2 2 2 2 2 2 71" xfId="777"/>
    <cellStyle name="常规 2 2 2 2 2 2 2 2 2 2 2 2 2 2 71 2" xfId="778"/>
    <cellStyle name="常规 2 2 2 2 2 2 2 2 2 2 2 2 2 2 71 3" xfId="779"/>
    <cellStyle name="常规 2 2 2 2 2 2 2 2 2 2 2 2 2 2 72" xfId="780"/>
    <cellStyle name="常规 2 2 2 2 2 2 2 2 2 2 2 2 2 2 73" xfId="781"/>
    <cellStyle name="常规 2 2 2 2 2 2 2 2 2 2 2 2 2 2 8" xfId="782"/>
    <cellStyle name="常规 2 2 2 2 2 2 2 2 2 2 2 2 2 2 9" xfId="783"/>
    <cellStyle name="常规 2 2 2 2 2 2 2 2 2 2 2 2 2 20" xfId="784"/>
    <cellStyle name="常规 2 2 2 2 2 2 2 2 2 2 2 2 2 21" xfId="785"/>
    <cellStyle name="常规 2 2 2 2 2 2 2 2 2 2 2 2 2 22" xfId="786"/>
    <cellStyle name="常规 2 2 2 2 2 2 2 2 2 2 2 2 2 23" xfId="787"/>
    <cellStyle name="常规 2 2 2 2 2 2 2 2 2 2 2 2 2 24" xfId="788"/>
    <cellStyle name="常规 2 2 2 2 2 2 2 2 2 2 2 2 2 25" xfId="789"/>
    <cellStyle name="常规 2 2 2 2 2 2 2 2 2 2 2 2 2 26" xfId="790"/>
    <cellStyle name="常规 2 2 2 2 2 2 2 2 2 2 2 2 2 27" xfId="791"/>
    <cellStyle name="常规 2 2 2 2 2 2 2 2 2 2 2 2 2 28" xfId="792"/>
    <cellStyle name="常规 2 2 2 2 2 2 2 2 2 2 2 2 2 29" xfId="793"/>
    <cellStyle name="常规 2 2 2 2 2 2 2 2 2 2 2 2 2 3" xfId="794"/>
    <cellStyle name="常规 2 2 2 2 2 2 2 2 2 2 2 2 2 30" xfId="795"/>
    <cellStyle name="常规 2 2 2 2 2 2 2 2 2 2 2 2 2 31" xfId="796"/>
    <cellStyle name="常规 2 2 2 2 2 2 2 2 2 2 2 2 2 32" xfId="797"/>
    <cellStyle name="常规 2 2 2 2 2 2 2 2 2 2 2 2 2 33" xfId="798"/>
    <cellStyle name="常规 2 2 2 2 2 2 2 2 2 2 2 2 2 34" xfId="799"/>
    <cellStyle name="常规 2 2 2 2 2 2 2 2 2 2 2 2 2 35" xfId="800"/>
    <cellStyle name="常规 2 2 2 2 2 2 2 2 2 2 2 2 2 36" xfId="801"/>
    <cellStyle name="常规 2 2 2 2 2 2 2 2 2 2 2 2 2 36 2" xfId="802"/>
    <cellStyle name="常规 2 2 2 2 2 2 2 2 2 2 2 2 2 36 2 2" xfId="803"/>
    <cellStyle name="常规 2 2 2 2 2 2 2 2 2 2 2 2 2 36 2 2 2" xfId="804"/>
    <cellStyle name="常规 2 2 2 2 2 2 2 2 2 2 2 2 2 36 2 3" xfId="805"/>
    <cellStyle name="常规 2 2 2 2 2 2 2 2 2 2 2 2 2 36 2 4" xfId="806"/>
    <cellStyle name="常规 2 2 2 2 2 2 2 2 2 2 2 2 2 36 2 5" xfId="807"/>
    <cellStyle name="常规 2 2 2 2 2 2 2 2 2 2 2 2 2 36 2 6" xfId="808"/>
    <cellStyle name="常规 2 2 2 2 2 2 2 2 2 2 2 2 2 36 2 7" xfId="809"/>
    <cellStyle name="常规 2 2 2 2 2 2 2 2 2 2 2 2 2 36 3" xfId="810"/>
    <cellStyle name="常规 2 2 2 2 2 2 2 2 2 2 2 2 2 36 3 2" xfId="811"/>
    <cellStyle name="常规 2 2 2 2 2 2 2 2 2 2 2 2 2 36 4" xfId="812"/>
    <cellStyle name="常规 2 2 2 2 2 2 2 2 2 2 2 2 2 36 5" xfId="813"/>
    <cellStyle name="常规 2 2 2 2 2 2 2 2 2 2 2 2 2 36 6" xfId="814"/>
    <cellStyle name="常规 2 2 2 2 2 2 2 2 2 2 2 2 2 36 7" xfId="815"/>
    <cellStyle name="常规 2 2 2 2 2 2 2 2 2 2 2 2 2 37" xfId="816"/>
    <cellStyle name="常规 2 2 2 2 2 2 2 2 2 2 2 2 2 38" xfId="817"/>
    <cellStyle name="常规 2 2 2 2 2 2 2 2 2 2 2 2 2 39" xfId="818"/>
    <cellStyle name="常规 2 2 2 2 2 2 2 2 2 2 2 2 2 4" xfId="819"/>
    <cellStyle name="常规 2 2 2 2 2 2 2 2 2 2 2 2 2 4 2" xfId="820"/>
    <cellStyle name="常规 2 2 2 2 2 2 2 2 2 2 2 2 2 4 2 2" xfId="821"/>
    <cellStyle name="常规 2 2 2 2 2 2 2 2 2 2 2 2 2 4 2 2 2" xfId="822"/>
    <cellStyle name="常规 2 2 2 2 2 2 2 2 2 2 2 2 2 4 2 2 2 2" xfId="823"/>
    <cellStyle name="常规 2 2 2 2 2 2 2 2 2 2 2 2 2 4 2 2 2 3" xfId="824"/>
    <cellStyle name="常规 2 2 2 2 2 2 2 2 2 2 2 2 2 4 2 2 2 4" xfId="825"/>
    <cellStyle name="常规 2 2 2 2 2 2 2 2 2 2 2 2 2 4 2 2 2 5" xfId="826"/>
    <cellStyle name="常规 2 2 2 2 2 2 2 2 2 2 2 2 2 4 2 2 3" xfId="827"/>
    <cellStyle name="常规 2 2 2 2 2 2 2 2 2 2 2 2 2 4 2 2 4" xfId="828"/>
    <cellStyle name="常规 2 2 2 2 2 2 2 2 2 2 2 2 2 4 2 2 5" xfId="829"/>
    <cellStyle name="常规 2 2 2 2 2 2 2 2 2 2 2 2 2 4 2 3" xfId="830"/>
    <cellStyle name="常规 2 2 2 2 2 2 2 2 2 2 2 2 2 4 2 4" xfId="831"/>
    <cellStyle name="常规 2 2 2 2 2 2 2 2 2 2 2 2 2 4 2 5" xfId="832"/>
    <cellStyle name="常规 2 2 2 2 2 2 2 2 2 2 2 2 2 4 2 6" xfId="833"/>
    <cellStyle name="常规 2 2 2 2 2 2 2 2 2 2 2 2 2 4 2 7" xfId="834"/>
    <cellStyle name="常规 2 2 2 2 2 2 2 2 2 2 2 2 2 4 2 8" xfId="835"/>
    <cellStyle name="常规 2 2 2 2 2 2 2 2 2 2 2 2 2 4 2 9" xfId="836"/>
    <cellStyle name="常规 2 2 2 2 2 2 2 2 2 2 2 2 2 4 3" xfId="837"/>
    <cellStyle name="常规 2 2 2 2 2 2 2 2 2 2 2 2 2 4 3 2" xfId="838"/>
    <cellStyle name="常规 2 2 2 2 2 2 2 2 2 2 2 2 2 4 3 2 2" xfId="839"/>
    <cellStyle name="常规 2 2 2 2 2 2 2 2 2 2 2 2 2 4 3 2 3" xfId="840"/>
    <cellStyle name="常规 2 2 2 2 2 2 2 2 2 2 2 2 2 4 3 2 4" xfId="841"/>
    <cellStyle name="常规 2 2 2 2 2 2 2 2 2 2 2 2 2 4 3 2 5" xfId="842"/>
    <cellStyle name="常规 2 2 2 2 2 2 2 2 2 2 2 2 2 4 3 3" xfId="843"/>
    <cellStyle name="常规 2 2 2 2 2 2 2 2 2 2 2 2 2 4 3 4" xfId="844"/>
    <cellStyle name="常规 2 2 2 2 2 2 2 2 2 2 2 2 2 4 3 5" xfId="845"/>
    <cellStyle name="常规 2 2 2 2 2 2 2 2 2 2 2 2 2 4 4" xfId="846"/>
    <cellStyle name="常规 2 2 2 2 2 2 2 2 2 2 2 2 2 4 5" xfId="847"/>
    <cellStyle name="常规 2 2 2 2 2 2 2 2 2 2 2 2 2 4 6" xfId="848"/>
    <cellStyle name="常规 2 2 2 2 2 2 2 2 2 2 2 2 2 4 7" xfId="849"/>
    <cellStyle name="常规 2 2 2 2 2 2 2 2 2 2 2 2 2 4 8" xfId="850"/>
    <cellStyle name="常规 2 2 2 2 2 2 2 2 2 2 2 2 2 4 9" xfId="851"/>
    <cellStyle name="常规 2 2 2 2 2 2 2 2 2 2 2 2 2 40" xfId="852"/>
    <cellStyle name="常规 2 2 2 2 2 2 2 2 2 2 2 2 2 41" xfId="853"/>
    <cellStyle name="常规 2 2 2 2 2 2 2 2 2 2 2 2 2 41 2" xfId="854"/>
    <cellStyle name="常规 2 2 2 2 2 2 2 2 2 2 2 2 2 42" xfId="855"/>
    <cellStyle name="常规 2 2 2 2 2 2 2 2 2 2 2 2 2 43" xfId="856"/>
    <cellStyle name="常规 2 2 2 2 2 2 2 2 2 2 2 2 2 44" xfId="857"/>
    <cellStyle name="常规 2 2 2 2 2 2 2 2 2 2 2 2 2 45" xfId="858"/>
    <cellStyle name="常规 2 2 2 2 2 2 2 2 2 2 2 2 2 46" xfId="859"/>
    <cellStyle name="常规 2 2 2 2 2 2 2 2 2 2 2 2 2 47" xfId="860"/>
    <cellStyle name="常规 2 2 2 2 2 2 2 2 2 2 2 2 2 48" xfId="861"/>
    <cellStyle name="常规 2 2 2 2 2 2 2 2 2 2 2 2 2 49" xfId="862"/>
    <cellStyle name="常规 2 2 2 2 2 2 2 2 2 2 2 2 2 5" xfId="863"/>
    <cellStyle name="常规 2 2 2 2 2 2 2 2 2 2 2 2 2 50" xfId="864"/>
    <cellStyle name="常规 2 2 2 2 2 2 2 2 2 2 2 2 2 51" xfId="865"/>
    <cellStyle name="常规 2 2 2 2 2 2 2 2 2 2 2 2 2 52" xfId="866"/>
    <cellStyle name="常规 2 2 2 2 2 2 2 2 2 2 2 2 2 53" xfId="867"/>
    <cellStyle name="常规 2 2 2 2 2 2 2 2 2 2 2 2 2 54" xfId="868"/>
    <cellStyle name="常规 2 2 2 2 2 2 2 2 2 2 2 2 2 55" xfId="869"/>
    <cellStyle name="常规 2 2 2 2 2 2 2 2 2 2 2 2 2 56" xfId="870"/>
    <cellStyle name="常规 2 2 2 2 2 2 2 2 2 2 2 2 2 57" xfId="871"/>
    <cellStyle name="常规 2 2 2 2 2 2 2 2 2 2 2 2 2 58" xfId="872"/>
    <cellStyle name="常规 2 2 2 2 2 2 2 2 2 2 2 2 2 59" xfId="873"/>
    <cellStyle name="常规 2 2 2 2 2 2 2 2 2 2 2 2 2 6" xfId="874"/>
    <cellStyle name="常规 2 2 2 2 2 2 2 2 2 2 2 2 2 60" xfId="875"/>
    <cellStyle name="常规 2 2 2 2 2 2 2 2 2 2 2 2 2 60 2" xfId="876"/>
    <cellStyle name="常规 2 2 2 2 2 2 2 2 2 2 2 2 2 60 2 2" xfId="877"/>
    <cellStyle name="常规 2 2 2 2 2 2 2 2 2 2 2 2 2 60 2 3" xfId="878"/>
    <cellStyle name="常规 2 2 2 2 2 2 2 2 2 2 2 2 2 60 2 4" xfId="879"/>
    <cellStyle name="常规 2 2 2 2 2 2 2 2 2 2 2 2 2 60 2 5" xfId="880"/>
    <cellStyle name="常规 2 2 2 2 2 2 2 2 2 2 2 2 2 60 3" xfId="881"/>
    <cellStyle name="常规 2 2 2 2 2 2 2 2 2 2 2 2 2 60 4" xfId="882"/>
    <cellStyle name="常规 2 2 2 2 2 2 2 2 2 2 2 2 2 60 5" xfId="883"/>
    <cellStyle name="常规 2 2 2 2 2 2 2 2 2 2 2 2 2 61" xfId="884"/>
    <cellStyle name="常规 2 2 2 2 2 2 2 2 2 2 2 2 2 62" xfId="885"/>
    <cellStyle name="常规 2 2 2 2 2 2 2 2 2 2 2 2 2 63" xfId="886"/>
    <cellStyle name="常规 2 2 2 2 2 2 2 2 2 2 2 2 2 64" xfId="887"/>
    <cellStyle name="常规 2 2 2 2 2 2 2 2 2 2 2 2 2 65" xfId="888"/>
    <cellStyle name="常规 2 2 2 2 2 2 2 2 2 2 2 2 2 66" xfId="889"/>
    <cellStyle name="常规 2 2 2 2 2 2 2 2 2 2 2 2 2 67" xfId="890"/>
    <cellStyle name="常规 2 2 2 2 2 2 2 2 2 2 2 2 2 68" xfId="891"/>
    <cellStyle name="常规 2 2 2 2 2 2 2 2 2 2 2 2 2 69" xfId="892"/>
    <cellStyle name="常规 2 2 2 2 2 2 2 2 2 2 2 2 2 7" xfId="893"/>
    <cellStyle name="常规 2 2 2 2 2 2 2 2 2 2 2 2 2 70" xfId="894"/>
    <cellStyle name="常规 2 2 2 2 2 2 2 2 2 2 2 2 2 71" xfId="895"/>
    <cellStyle name="常规 2 2 2 2 2 2 2 2 2 2 2 2 2 71 2" xfId="896"/>
    <cellStyle name="常规 2 2 2 2 2 2 2 2 2 2 2 2 2 71 3" xfId="897"/>
    <cellStyle name="常规 2 2 2 2 2 2 2 2 2 2 2 2 2 72" xfId="898"/>
    <cellStyle name="常规 2 2 2 2 2 2 2 2 2 2 2 2 2 73" xfId="899"/>
    <cellStyle name="常规 2 2 2 2 2 2 2 2 2 2 2 2 2 8" xfId="900"/>
    <cellStyle name="常规 2 2 2 2 2 2 2 2 2 2 2 2 2 9" xfId="901"/>
    <cellStyle name="常规 2 2 2 2 2 2 2 2 2 2 2 2 20" xfId="902"/>
    <cellStyle name="常规 2 2 2 2 2 2 2 2 2 2 2 2 21" xfId="903"/>
    <cellStyle name="常规 2 2 2 2 2 2 2 2 2 2 2 2 22" xfId="904"/>
    <cellStyle name="常规 2 2 2 2 2 2 2 2 2 2 2 2 23" xfId="905"/>
    <cellStyle name="常规 2 2 2 2 2 2 2 2 2 2 2 2 24" xfId="906"/>
    <cellStyle name="常规 2 2 2 2 2 2 2 2 2 2 2 2 25" xfId="907"/>
    <cellStyle name="常规 2 2 2 2 2 2 2 2 2 2 2 2 26" xfId="908"/>
    <cellStyle name="常规 2 2 2 2 2 2 2 2 2 2 2 2 27" xfId="909"/>
    <cellStyle name="常规 2 2 2 2 2 2 2 2 2 2 2 2 28" xfId="910"/>
    <cellStyle name="常规 2 2 2 2 2 2 2 2 2 2 2 2 29" xfId="911"/>
    <cellStyle name="常规 2 2 2 2 2 2 2 2 2 2 2 2 3" xfId="912"/>
    <cellStyle name="常规 2 2 2 2 2 2 2 2 2 2 2 2 30" xfId="913"/>
    <cellStyle name="常规 2 2 2 2 2 2 2 2 2 2 2 2 31" xfId="914"/>
    <cellStyle name="常规 2 2 2 2 2 2 2 2 2 2 2 2 32" xfId="915"/>
    <cellStyle name="常规 2 2 2 2 2 2 2 2 2 2 2 2 33" xfId="916"/>
    <cellStyle name="常规 2 2 2 2 2 2 2 2 2 2 2 2 34" xfId="917"/>
    <cellStyle name="常规 2 2 2 2 2 2 2 2 2 2 2 2 35" xfId="918"/>
    <cellStyle name="常规 2 2 2 2 2 2 2 2 2 2 2 2 36" xfId="919"/>
    <cellStyle name="常规 2 2 2 2 2 2 2 2 2 2 2 2 36 2" xfId="920"/>
    <cellStyle name="常规 2 2 2 2 2 2 2 2 2 2 2 2 36 2 2" xfId="921"/>
    <cellStyle name="常规 2 2 2 2 2 2 2 2 2 2 2 2 36 2 2 2" xfId="922"/>
    <cellStyle name="常规 2 2 2 2 2 2 2 2 2 2 2 2 36 2 3" xfId="923"/>
    <cellStyle name="常规 2 2 2 2 2 2 2 2 2 2 2 2 36 2 4" xfId="924"/>
    <cellStyle name="常规 2 2 2 2 2 2 2 2 2 2 2 2 36 2 5" xfId="925"/>
    <cellStyle name="常规 2 2 2 2 2 2 2 2 2 2 2 2 36 2 6" xfId="926"/>
    <cellStyle name="常规 2 2 2 2 2 2 2 2 2 2 2 2 36 2 7" xfId="927"/>
    <cellStyle name="常规 2 2 2 2 2 2 2 2 2 2 2 2 36 3" xfId="928"/>
    <cellStyle name="常规 2 2 2 2 2 2 2 2 2 2 2 2 36 3 2" xfId="929"/>
    <cellStyle name="常规 2 2 2 2 2 2 2 2 2 2 2 2 36 4" xfId="930"/>
    <cellStyle name="常规 2 2 2 2 2 2 2 2 2 2 2 2 36 5" xfId="931"/>
    <cellStyle name="常规 2 2 2 2 2 2 2 2 2 2 2 2 36 6" xfId="932"/>
    <cellStyle name="常规 2 2 2 2 2 2 2 2 2 2 2 2 36 7" xfId="933"/>
    <cellStyle name="常规 2 2 2 2 2 2 2 2 2 2 2 2 37" xfId="934"/>
    <cellStyle name="常规 2 2 2 2 2 2 2 2 2 2 2 2 38" xfId="935"/>
    <cellStyle name="常规 2 2 2 2 2 2 2 2 2 2 2 2 39" xfId="936"/>
    <cellStyle name="常规 2 2 2 2 2 2 2 2 2 2 2 2 4" xfId="937"/>
    <cellStyle name="常规 2 2 2 2 2 2 2 2 2 2 2 2 4 2" xfId="938"/>
    <cellStyle name="常规 2 2 2 2 2 2 2 2 2 2 2 2 4 2 2" xfId="939"/>
    <cellStyle name="常规 2 2 2 2 2 2 2 2 2 2 2 2 4 2 2 2" xfId="940"/>
    <cellStyle name="常规 2 2 2 2 2 2 2 2 2 2 2 2 4 2 2 2 2" xfId="941"/>
    <cellStyle name="常规 2 2 2 2 2 2 2 2 2 2 2 2 4 2 2 2 3" xfId="942"/>
    <cellStyle name="常规 2 2 2 2 2 2 2 2 2 2 2 2 4 2 2 2 4" xfId="943"/>
    <cellStyle name="常规 2 2 2 2 2 2 2 2 2 2 2 2 4 2 2 2 5" xfId="944"/>
    <cellStyle name="常规 2 2 2 2 2 2 2 2 2 2 2 2 4 2 2 3" xfId="945"/>
    <cellStyle name="常规 2 2 2 2 2 2 2 2 2 2 2 2 4 2 2 4" xfId="946"/>
    <cellStyle name="常规 2 2 2 2 2 2 2 2 2 2 2 2 4 2 2 5" xfId="947"/>
    <cellStyle name="常规 2 2 2 2 2 2 2 2 2 2 2 2 4 2 3" xfId="948"/>
    <cellStyle name="常规 2 2 2 2 2 2 2 2 2 2 2 2 4 2 4" xfId="949"/>
    <cellStyle name="常规 2 2 2 2 2 2 2 2 2 2 2 2 4 2 5" xfId="950"/>
    <cellStyle name="常规 2 2 2 2 2 2 2 2 2 2 2 2 4 2 6" xfId="951"/>
    <cellStyle name="常规 2 2 2 2 2 2 2 2 2 2 2 2 4 2 7" xfId="952"/>
    <cellStyle name="常规 2 2 2 2 2 2 2 2 2 2 2 2 4 2 8" xfId="953"/>
    <cellStyle name="常规 2 2 2 2 2 2 2 2 2 2 2 2 4 2 9" xfId="954"/>
    <cellStyle name="常规 2 2 2 2 2 2 2 2 2 2 2 2 4 3" xfId="955"/>
    <cellStyle name="常规 2 2 2 2 2 2 2 2 2 2 2 2 4 3 2" xfId="956"/>
    <cellStyle name="常规 2 2 2 2 2 2 2 2 2 2 2 2 4 3 2 2" xfId="957"/>
    <cellStyle name="常规 2 2 2 2 2 2 2 2 2 2 2 2 4 3 2 3" xfId="958"/>
    <cellStyle name="常规 2 2 2 2 2 2 2 2 2 2 2 2 4 3 2 4" xfId="959"/>
    <cellStyle name="常规 2 2 2 2 2 2 2 2 2 2 2 2 4 3 2 5" xfId="960"/>
    <cellStyle name="常规 2 2 2 2 2 2 2 2 2 2 2 2 4 3 3" xfId="961"/>
    <cellStyle name="常规 2 2 2 2 2 2 2 2 2 2 2 2 4 3 4" xfId="962"/>
    <cellStyle name="常规 2 2 2 2 2 2 2 2 2 2 2 2 4 3 5" xfId="963"/>
    <cellStyle name="常规 2 2 2 2 2 2 2 2 2 2 2 2 4 4" xfId="964"/>
    <cellStyle name="常规 2 2 2 2 2 2 2 2 2 2 2 2 4 5" xfId="965"/>
    <cellStyle name="常规 2 2 2 2 2 2 2 2 2 2 2 2 4 6" xfId="966"/>
    <cellStyle name="常规 2 2 2 2 2 2 2 2 2 2 2 2 4 7" xfId="967"/>
    <cellStyle name="常规 2 2 2 2 2 2 2 2 2 2 2 2 4 8" xfId="968"/>
    <cellStyle name="常规 2 2 2 2 2 2 2 2 2 2 2 2 4 9" xfId="969"/>
    <cellStyle name="常规 2 2 2 2 2 2 2 2 2 2 2 2 40" xfId="970"/>
    <cellStyle name="常规 2 2 2 2 2 2 2 2 2 2 2 2 41" xfId="971"/>
    <cellStyle name="常规 2 2 2 2 2 2 2 2 2 2 2 2 41 2" xfId="972"/>
    <cellStyle name="常规 2 2 2 2 2 2 2 2 2 2 2 2 42" xfId="973"/>
    <cellStyle name="常规 2 2 2 2 2 2 2 2 2 2 2 2 43" xfId="974"/>
    <cellStyle name="常规 2 2 2 2 2 2 2 2 2 2 2 2 44" xfId="975"/>
    <cellStyle name="常规 2 2 2 2 2 2 2 2 2 2 2 2 45" xfId="976"/>
    <cellStyle name="常规 2 2 2 2 2 2 2 2 2 2 2 2 46" xfId="977"/>
    <cellStyle name="常规 2 2 2 2 2 2 2 2 2 2 2 2 47" xfId="978"/>
    <cellStyle name="常规 2 2 2 2 2 2 2 2 2 2 2 2 48" xfId="979"/>
    <cellStyle name="常规 2 2 2 2 2 2 2 2 2 2 2 2 49" xfId="980"/>
    <cellStyle name="常规 2 2 2 2 2 2 2 2 2 2 2 2 5" xfId="981"/>
    <cellStyle name="常规 2 2 2 2 2 2 2 2 2 2 2 2 50" xfId="982"/>
    <cellStyle name="常规 2 2 2 2 2 2 2 2 2 2 2 2 51" xfId="983"/>
    <cellStyle name="常规 2 2 2 2 2 2 2 2 2 2 2 2 52" xfId="984"/>
    <cellStyle name="常规 2 2 2 2 2 2 2 2 2 2 2 2 53" xfId="985"/>
    <cellStyle name="常规 2 2 2 2 2 2 2 2 2 2 2 2 54" xfId="986"/>
    <cellStyle name="常规 2 2 2 2 2 2 2 2 2 2 2 2 55" xfId="987"/>
    <cellStyle name="常规 2 2 2 2 2 2 2 2 2 2 2 2 56" xfId="988"/>
    <cellStyle name="常规 2 2 2 2 2 2 2 2 2 2 2 2 57" xfId="989"/>
    <cellStyle name="常规 2 2 2 2 2 2 2 2 2 2 2 2 58" xfId="990"/>
    <cellStyle name="常规 2 2 2 2 2 2 2 2 2 2 2 2 59" xfId="991"/>
    <cellStyle name="常规 2 2 2 2 2 2 2 2 2 2 2 2 6" xfId="992"/>
    <cellStyle name="常规 2 2 2 2 2 2 2 2 2 2 2 2 60" xfId="993"/>
    <cellStyle name="常规 2 2 2 2 2 2 2 2 2 2 2 2 60 2" xfId="994"/>
    <cellStyle name="常规 2 2 2 2 2 2 2 2 2 2 2 2 60 2 2" xfId="995"/>
    <cellStyle name="常规 2 2 2 2 2 2 2 2 2 2 2 2 60 2 3" xfId="996"/>
    <cellStyle name="常规 2 2 2 2 2 2 2 2 2 2 2 2 60 2 4" xfId="997"/>
    <cellStyle name="常规 2 2 2 2 2 2 2 2 2 2 2 2 60 2 5" xfId="998"/>
    <cellStyle name="常规 2 2 2 2 2 2 2 2 2 2 2 2 60 3" xfId="999"/>
    <cellStyle name="常规 2 2 2 2 2 2 2 2 2 2 2 2 60 4" xfId="1000"/>
    <cellStyle name="常规 2 2 2 2 2 2 2 2 2 2 2 2 60 5" xfId="1001"/>
    <cellStyle name="常规 2 2 2 2 2 2 2 2 2 2 2 2 61" xfId="1002"/>
    <cellStyle name="常规 2 2 2 2 2 2 2 2 2 2 2 2 62" xfId="1003"/>
    <cellStyle name="常规 2 2 2 2 2 2 2 2 2 2 2 2 63" xfId="1004"/>
    <cellStyle name="常规 2 2 2 2 2 2 2 2 2 2 2 2 64" xfId="1005"/>
    <cellStyle name="常规 2 2 2 2 2 2 2 2 2 2 2 2 65" xfId="1006"/>
    <cellStyle name="常规 2 2 2 2 2 2 2 2 2 2 2 2 66" xfId="1007"/>
    <cellStyle name="常规 2 2 2 2 2 2 2 2 2 2 2 2 67" xfId="1008"/>
    <cellStyle name="常规 2 2 2 2 2 2 2 2 2 2 2 2 68" xfId="1009"/>
    <cellStyle name="常规 2 2 2 2 2 2 2 2 2 2 2 2 69" xfId="1010"/>
    <cellStyle name="常规 2 2 2 2 2 2 2 2 2 2 2 2 7" xfId="1011"/>
    <cellStyle name="常规 2 2 2 2 2 2 2 2 2 2 2 2 70" xfId="1012"/>
    <cellStyle name="常规 2 2 2 2 2 2 2 2 2 2 2 2 71" xfId="1013"/>
    <cellStyle name="常规 2 2 2 2 2 2 2 2 2 2 2 2 71 2" xfId="1014"/>
    <cellStyle name="常规 2 2 2 2 2 2 2 2 2 2 2 2 71 3" xfId="1015"/>
    <cellStyle name="常规 2 2 2 2 2 2 2 2 2 2 2 2 72" xfId="1016"/>
    <cellStyle name="常规 2 2 2 2 2 2 2 2 2 2 2 2 73" xfId="1017"/>
    <cellStyle name="常规 2 2 2 2 2 2 2 2 2 2 2 2 8" xfId="1018"/>
    <cellStyle name="常规 2 2 2 2 2 2 2 2 2 2 2 2 9" xfId="1019"/>
    <cellStyle name="常规 2 2 2 2 2 2 2 2 2 2 2 20" xfId="1020"/>
    <cellStyle name="常规 2 2 2 2 2 2 2 2 2 2 2 21" xfId="1021"/>
    <cellStyle name="常规 2 2 2 2 2 2 2 2 2 2 2 22" xfId="1022"/>
    <cellStyle name="常规 2 2 2 2 2 2 2 2 2 2 2 23" xfId="1023"/>
    <cellStyle name="常规 2 2 2 2 2 2 2 2 2 2 2 24" xfId="1024"/>
    <cellStyle name="常规 2 2 2 2 2 2 2 2 2 2 2 25" xfId="1025"/>
    <cellStyle name="常规 2 2 2 2 2 2 2 2 2 2 2 26" xfId="1026"/>
    <cellStyle name="常规 2 2 2 2 2 2 2 2 2 2 2 27" xfId="1027"/>
    <cellStyle name="常规 2 2 2 2 2 2 2 2 2 2 2 28" xfId="1028"/>
    <cellStyle name="常规 2 2 2 2 2 2 2 2 2 2 2 29" xfId="1029"/>
    <cellStyle name="常规 2 2 2 2 2 2 2 2 2 2 2 3" xfId="1030"/>
    <cellStyle name="常规 2 2 2 2 2 2 2 2 2 2 2 30" xfId="1031"/>
    <cellStyle name="常规 2 2 2 2 2 2 2 2 2 2 2 31" xfId="1032"/>
    <cellStyle name="常规 2 2 2 2 2 2 2 2 2 2 2 32" xfId="1033"/>
    <cellStyle name="常规 2 2 2 2 2 2 2 2 2 2 2 33" xfId="1034"/>
    <cellStyle name="常规 2 2 2 2 2 2 2 2 2 2 2 34" xfId="1035"/>
    <cellStyle name="常规 2 2 2 2 2 2 2 2 2 2 2 35" xfId="1036"/>
    <cellStyle name="常规 2 2 2 2 2 2 2 2 2 2 2 36" xfId="1037"/>
    <cellStyle name="常规 2 2 2 2 2 2 2 2 2 2 2 37" xfId="1038"/>
    <cellStyle name="常规 2 2 2 2 2 2 2 2 2 2 2 38" xfId="1039"/>
    <cellStyle name="常规 2 2 2 2 2 2 2 2 2 2 2 38 2" xfId="1040"/>
    <cellStyle name="常规 2 2 2 2 2 2 2 2 2 2 2 38 2 2" xfId="1041"/>
    <cellStyle name="常规 2 2 2 2 2 2 2 2 2 2 2 38 2 2 2" xfId="1042"/>
    <cellStyle name="常规 2 2 2 2 2 2 2 2 2 2 2 38 2 3" xfId="1043"/>
    <cellStyle name="常规 2 2 2 2 2 2 2 2 2 2 2 38 2 4" xfId="1044"/>
    <cellStyle name="常规 2 2 2 2 2 2 2 2 2 2 2 38 2 5" xfId="1045"/>
    <cellStyle name="常规 2 2 2 2 2 2 2 2 2 2 2 38 2 6" xfId="1046"/>
    <cellStyle name="常规 2 2 2 2 2 2 2 2 2 2 2 38 2 7" xfId="1047"/>
    <cellStyle name="常规 2 2 2 2 2 2 2 2 2 2 2 38 3" xfId="1048"/>
    <cellStyle name="常规 2 2 2 2 2 2 2 2 2 2 2 38 3 2" xfId="1049"/>
    <cellStyle name="常规 2 2 2 2 2 2 2 2 2 2 2 38 4" xfId="1050"/>
    <cellStyle name="常规 2 2 2 2 2 2 2 2 2 2 2 38 5" xfId="1051"/>
    <cellStyle name="常规 2 2 2 2 2 2 2 2 2 2 2 38 6" xfId="1052"/>
    <cellStyle name="常规 2 2 2 2 2 2 2 2 2 2 2 38 7" xfId="1053"/>
    <cellStyle name="常规 2 2 2 2 2 2 2 2 2 2 2 39" xfId="1054"/>
    <cellStyle name="常规 2 2 2 2 2 2 2 2 2 2 2 4" xfId="1055"/>
    <cellStyle name="常规 2 2 2 2 2 2 2 2 2 2 2 40" xfId="1056"/>
    <cellStyle name="常规 2 2 2 2 2 2 2 2 2 2 2 41" xfId="1057"/>
    <cellStyle name="常规 2 2 2 2 2 2 2 2 2 2 2 42" xfId="1058"/>
    <cellStyle name="常规 2 2 2 2 2 2 2 2 2 2 2 43" xfId="1059"/>
    <cellStyle name="常规 2 2 2 2 2 2 2 2 2 2 2 43 2" xfId="1060"/>
    <cellStyle name="常规 2 2 2 2 2 2 2 2 2 2 2 44" xfId="1061"/>
    <cellStyle name="常规 2 2 2 2 2 2 2 2 2 2 2 45" xfId="1062"/>
    <cellStyle name="常规 2 2 2 2 2 2 2 2 2 2 2 46" xfId="1063"/>
    <cellStyle name="常规 2 2 2 2 2 2 2 2 2 2 2 47" xfId="1064"/>
    <cellStyle name="常规 2 2 2 2 2 2 2 2 2 2 2 48" xfId="1065"/>
    <cellStyle name="常规 2 2 2 2 2 2 2 2 2 2 2 49" xfId="1066"/>
    <cellStyle name="常规 2 2 2 2 2 2 2 2 2 2 2 5" xfId="1067"/>
    <cellStyle name="常规 2 2 2 2 2 2 2 2 2 2 2 50" xfId="1068"/>
    <cellStyle name="常规 2 2 2 2 2 2 2 2 2 2 2 51" xfId="1069"/>
    <cellStyle name="常规 2 2 2 2 2 2 2 2 2 2 2 52" xfId="1070"/>
    <cellStyle name="常规 2 2 2 2 2 2 2 2 2 2 2 53" xfId="1071"/>
    <cellStyle name="常规 2 2 2 2 2 2 2 2 2 2 2 54" xfId="1072"/>
    <cellStyle name="常规 2 2 2 2 2 2 2 2 2 2 2 55" xfId="1073"/>
    <cellStyle name="常规 2 2 2 2 2 2 2 2 2 2 2 56" xfId="1074"/>
    <cellStyle name="常规 2 2 2 2 2 2 2 2 2 2 2 57" xfId="1075"/>
    <cellStyle name="常规 2 2 2 2 2 2 2 2 2 2 2 58" xfId="1076"/>
    <cellStyle name="常规 2 2 2 2 2 2 2 2 2 2 2 59" xfId="1077"/>
    <cellStyle name="常规 2 2 2 2 2 2 2 2 2 2 2 6" xfId="1078"/>
    <cellStyle name="常规 2 2 2 2 2 2 2 2 2 2 2 6 2" xfId="1079"/>
    <cellStyle name="常规 2 2 2 2 2 2 2 2 2 2 2 6 2 2" xfId="1080"/>
    <cellStyle name="常规 2 2 2 2 2 2 2 2 2 2 2 6 2 2 2" xfId="1081"/>
    <cellStyle name="常规 2 2 2 2 2 2 2 2 2 2 2 6 2 2 2 2" xfId="1082"/>
    <cellStyle name="常规 2 2 2 2 2 2 2 2 2 2 2 6 2 2 2 3" xfId="1083"/>
    <cellStyle name="常规 2 2 2 2 2 2 2 2 2 2 2 6 2 2 2 4" xfId="1084"/>
    <cellStyle name="常规 2 2 2 2 2 2 2 2 2 2 2 6 2 2 2 5" xfId="1085"/>
    <cellStyle name="常规 2 2 2 2 2 2 2 2 2 2 2 6 2 2 3" xfId="1086"/>
    <cellStyle name="常规 2 2 2 2 2 2 2 2 2 2 2 6 2 2 4" xfId="1087"/>
    <cellStyle name="常规 2 2 2 2 2 2 2 2 2 2 2 6 2 2 5" xfId="1088"/>
    <cellStyle name="常规 2 2 2 2 2 2 2 2 2 2 2 6 2 3" xfId="1089"/>
    <cellStyle name="常规 2 2 2 2 2 2 2 2 2 2 2 6 2 4" xfId="1090"/>
    <cellStyle name="常规 2 2 2 2 2 2 2 2 2 2 2 6 2 5" xfId="1091"/>
    <cellStyle name="常规 2 2 2 2 2 2 2 2 2 2 2 6 2 6" xfId="1092"/>
    <cellStyle name="常规 2 2 2 2 2 2 2 2 2 2 2 6 2 7" xfId="1093"/>
    <cellStyle name="常规 2 2 2 2 2 2 2 2 2 2 2 6 2 8" xfId="1094"/>
    <cellStyle name="常规 2 2 2 2 2 2 2 2 2 2 2 6 2 9" xfId="1095"/>
    <cellStyle name="常规 2 2 2 2 2 2 2 2 2 2 2 6 3" xfId="1096"/>
    <cellStyle name="常规 2 2 2 2 2 2 2 2 2 2 2 6 3 2" xfId="1097"/>
    <cellStyle name="常规 2 2 2 2 2 2 2 2 2 2 2 6 3 2 2" xfId="1098"/>
    <cellStyle name="常规 2 2 2 2 2 2 2 2 2 2 2 6 3 2 3" xfId="1099"/>
    <cellStyle name="常规 2 2 2 2 2 2 2 2 2 2 2 6 3 2 4" xfId="1100"/>
    <cellStyle name="常规 2 2 2 2 2 2 2 2 2 2 2 6 3 2 5" xfId="1101"/>
    <cellStyle name="常规 2 2 2 2 2 2 2 2 2 2 2 6 3 3" xfId="1102"/>
    <cellStyle name="常规 2 2 2 2 2 2 2 2 2 2 2 6 3 4" xfId="1103"/>
    <cellStyle name="常规 2 2 2 2 2 2 2 2 2 2 2 6 3 5" xfId="1104"/>
    <cellStyle name="常规 2 2 2 2 2 2 2 2 2 2 2 6 4" xfId="1105"/>
    <cellStyle name="常规 2 2 2 2 2 2 2 2 2 2 2 6 5" xfId="1106"/>
    <cellStyle name="常规 2 2 2 2 2 2 2 2 2 2 2 6 6" xfId="1107"/>
    <cellStyle name="常规 2 2 2 2 2 2 2 2 2 2 2 6 7" xfId="1108"/>
    <cellStyle name="常规 2 2 2 2 2 2 2 2 2 2 2 6 8" xfId="1109"/>
    <cellStyle name="常规 2 2 2 2 2 2 2 2 2 2 2 6 9" xfId="1110"/>
    <cellStyle name="常规 2 2 2 2 2 2 2 2 2 2 2 60" xfId="1111"/>
    <cellStyle name="常规 2 2 2 2 2 2 2 2 2 2 2 61" xfId="1112"/>
    <cellStyle name="常规 2 2 2 2 2 2 2 2 2 2 2 62" xfId="1113"/>
    <cellStyle name="常规 2 2 2 2 2 2 2 2 2 2 2 62 2" xfId="1114"/>
    <cellStyle name="常规 2 2 2 2 2 2 2 2 2 2 2 62 2 2" xfId="1115"/>
    <cellStyle name="常规 2 2 2 2 2 2 2 2 2 2 2 62 2 3" xfId="1116"/>
    <cellStyle name="常规 2 2 2 2 2 2 2 2 2 2 2 62 2 4" xfId="1117"/>
    <cellStyle name="常规 2 2 2 2 2 2 2 2 2 2 2 62 2 5" xfId="1118"/>
    <cellStyle name="常规 2 2 2 2 2 2 2 2 2 2 2 62 3" xfId="1119"/>
    <cellStyle name="常规 2 2 2 2 2 2 2 2 2 2 2 62 4" xfId="1120"/>
    <cellStyle name="常规 2 2 2 2 2 2 2 2 2 2 2 62 5" xfId="1121"/>
    <cellStyle name="常规 2 2 2 2 2 2 2 2 2 2 2 63" xfId="1122"/>
    <cellStyle name="常规 2 2 2 2 2 2 2 2 2 2 2 64" xfId="1123"/>
    <cellStyle name="常规 2 2 2 2 2 2 2 2 2 2 2 65" xfId="1124"/>
    <cellStyle name="常规 2 2 2 2 2 2 2 2 2 2 2 66" xfId="1125"/>
    <cellStyle name="常规 2 2 2 2 2 2 2 2 2 2 2 67" xfId="1126"/>
    <cellStyle name="常规 2 2 2 2 2 2 2 2 2 2 2 68" xfId="1127"/>
    <cellStyle name="常规 2 2 2 2 2 2 2 2 2 2 2 69" xfId="1128"/>
    <cellStyle name="常规 2 2 2 2 2 2 2 2 2 2 2 7" xfId="1129"/>
    <cellStyle name="常规 2 2 2 2 2 2 2 2 2 2 2 70" xfId="1130"/>
    <cellStyle name="常规 2 2 2 2 2 2 2 2 2 2 2 71" xfId="1131"/>
    <cellStyle name="常规 2 2 2 2 2 2 2 2 2 2 2 72" xfId="1132"/>
    <cellStyle name="常规 2 2 2 2 2 2 2 2 2 2 2 73" xfId="1133"/>
    <cellStyle name="常规 2 2 2 2 2 2 2 2 2 2 2 73 2" xfId="1134"/>
    <cellStyle name="常规 2 2 2 2 2 2 2 2 2 2 2 73 3" xfId="1135"/>
    <cellStyle name="常规 2 2 2 2 2 2 2 2 2 2 2 74" xfId="1136"/>
    <cellStyle name="常规 2 2 2 2 2 2 2 2 2 2 2 75" xfId="1137"/>
    <cellStyle name="常规 2 2 2 2 2 2 2 2 2 2 2 8" xfId="1138"/>
    <cellStyle name="常规 2 2 2 2 2 2 2 2 2 2 2 9" xfId="1139"/>
    <cellStyle name="常规 2 2 2 2 2 2 2 2 2 2 20" xfId="1140"/>
    <cellStyle name="常规 2 2 2 2 2 2 2 2 2 2 21" xfId="1141"/>
    <cellStyle name="常规 2 2 2 2 2 2 2 2 2 2 22" xfId="1142"/>
    <cellStyle name="常规 2 2 2 2 2 2 2 2 2 2 23" xfId="1143"/>
    <cellStyle name="常规 2 2 2 2 2 2 2 2 2 2 24" xfId="1144"/>
    <cellStyle name="常规 2 2 2 2 2 2 2 2 2 2 25" xfId="1145"/>
    <cellStyle name="常规 2 2 2 2 2 2 2 2 2 2 26" xfId="1146"/>
    <cellStyle name="常规 2 2 2 2 2 2 2 2 2 2 27" xfId="1147"/>
    <cellStyle name="常规 2 2 2 2 2 2 2 2 2 2 28" xfId="1148"/>
    <cellStyle name="常规 2 2 2 2 2 2 2 2 2 2 29" xfId="1149"/>
    <cellStyle name="常规 2 2 2 2 2 2 2 2 2 2 3" xfId="1150"/>
    <cellStyle name="常规 2 2 2 2 2 2 2 2 2 2 3 2" xfId="1151"/>
    <cellStyle name="常规 2 2 2 2 2 2 2 2 2 2 3 2 2" xfId="1152"/>
    <cellStyle name="常规 2 2 2 2 2 2 2 2 2 2 30" xfId="1153"/>
    <cellStyle name="常规 2 2 2 2 2 2 2 2 2 2 31" xfId="1154"/>
    <cellStyle name="常规 2 2 2 2 2 2 2 2 2 2 32" xfId="1155"/>
    <cellStyle name="常规 2 2 2 2 2 2 2 2 2 2 33" xfId="1156"/>
    <cellStyle name="常规 2 2 2 2 2 2 2 2 2 2 34" xfId="1157"/>
    <cellStyle name="常规 2 2 2 2 2 2 2 2 2 2 35" xfId="1158"/>
    <cellStyle name="常规 2 2 2 2 2 2 2 2 2 2 36" xfId="1159"/>
    <cellStyle name="常规 2 2 2 2 2 2 2 2 2 2 37" xfId="1160"/>
    <cellStyle name="常规 2 2 2 2 2 2 2 2 2 2 38" xfId="1161"/>
    <cellStyle name="常规 2 2 2 2 2 2 2 2 2 2 38 2" xfId="1162"/>
    <cellStyle name="常规 2 2 2 2 2 2 2 2 2 2 38 2 2" xfId="1163"/>
    <cellStyle name="常规 2 2 2 2 2 2 2 2 2 2 38 2 2 2" xfId="1164"/>
    <cellStyle name="常规 2 2 2 2 2 2 2 2 2 2 38 2 3" xfId="1165"/>
    <cellStyle name="常规 2 2 2 2 2 2 2 2 2 2 38 2 4" xfId="1166"/>
    <cellStyle name="常规 2 2 2 2 2 2 2 2 2 2 38 2 5" xfId="1167"/>
    <cellStyle name="常规 2 2 2 2 2 2 2 2 2 2 38 2 6" xfId="1168"/>
    <cellStyle name="常规 2 2 2 2 2 2 2 2 2 2 38 2 7" xfId="1169"/>
    <cellStyle name="常规 2 2 2 2 2 2 2 2 2 2 38 3" xfId="1170"/>
    <cellStyle name="常规 2 2 2 2 2 2 2 2 2 2 38 3 2" xfId="1171"/>
    <cellStyle name="常规 2 2 2 2 2 2 2 2 2 2 38 4" xfId="1172"/>
    <cellStyle name="常规 2 2 2 2 2 2 2 2 2 2 38 5" xfId="1173"/>
    <cellStyle name="常规 2 2 2 2 2 2 2 2 2 2 38 6" xfId="1174"/>
    <cellStyle name="常规 2 2 2 2 2 2 2 2 2 2 38 7" xfId="1175"/>
    <cellStyle name="常规 2 2 2 2 2 2 2 2 2 2 39" xfId="1176"/>
    <cellStyle name="常规 2 2 2 2 2 2 2 2 2 2 4" xfId="1177"/>
    <cellStyle name="常规 2 2 2 2 2 2 2 2 2 2 40" xfId="1178"/>
    <cellStyle name="常规 2 2 2 2 2 2 2 2 2 2 41" xfId="1179"/>
    <cellStyle name="常规 2 2 2 2 2 2 2 2 2 2 42" xfId="1180"/>
    <cellStyle name="常规 2 2 2 2 2 2 2 2 2 2 43" xfId="1181"/>
    <cellStyle name="常规 2 2 2 2 2 2 2 2 2 2 43 2" xfId="1182"/>
    <cellStyle name="常规 2 2 2 2 2 2 2 2 2 2 44" xfId="1183"/>
    <cellStyle name="常规 2 2 2 2 2 2 2 2 2 2 45" xfId="1184"/>
    <cellStyle name="常规 2 2 2 2 2 2 2 2 2 2 46" xfId="1185"/>
    <cellStyle name="常规 2 2 2 2 2 2 2 2 2 2 47" xfId="1186"/>
    <cellStyle name="常规 2 2 2 2 2 2 2 2 2 2 48" xfId="1187"/>
    <cellStyle name="常规 2 2 2 2 2 2 2 2 2 2 49" xfId="1188"/>
    <cellStyle name="常规 2 2 2 2 2 2 2 2 2 2 5" xfId="1189"/>
    <cellStyle name="常规 2 2 2 2 2 2 2 2 2 2 50" xfId="1190"/>
    <cellStyle name="常规 2 2 2 2 2 2 2 2 2 2 51" xfId="1191"/>
    <cellStyle name="常规 2 2 2 2 2 2 2 2 2 2 52" xfId="1192"/>
    <cellStyle name="常规 2 2 2 2 2 2 2 2 2 2 53" xfId="1193"/>
    <cellStyle name="常规 2 2 2 2 2 2 2 2 2 2 54" xfId="1194"/>
    <cellStyle name="常规 2 2 2 2 2 2 2 2 2 2 55" xfId="1195"/>
    <cellStyle name="常规 2 2 2 2 2 2 2 2 2 2 56" xfId="1196"/>
    <cellStyle name="常规 2 2 2 2 2 2 2 2 2 2 57" xfId="1197"/>
    <cellStyle name="常规 2 2 2 2 2 2 2 2 2 2 58" xfId="1198"/>
    <cellStyle name="常规 2 2 2 2 2 2 2 2 2 2 59" xfId="1199"/>
    <cellStyle name="常规 2 2 2 2 2 2 2 2 2 2 6" xfId="1200"/>
    <cellStyle name="常规 2 2 2 2 2 2 2 2 2 2 6 2" xfId="1201"/>
    <cellStyle name="常规 2 2 2 2 2 2 2 2 2 2 6 2 2" xfId="1202"/>
    <cellStyle name="常规 2 2 2 2 2 2 2 2 2 2 6 2 2 2" xfId="1203"/>
    <cellStyle name="常规 2 2 2 2 2 2 2 2 2 2 6 2 2 2 2" xfId="1204"/>
    <cellStyle name="常规 2 2 2 2 2 2 2 2 2 2 6 2 2 2 3" xfId="1205"/>
    <cellStyle name="常规 2 2 2 2 2 2 2 2 2 2 6 2 2 2 4" xfId="1206"/>
    <cellStyle name="常规 2 2 2 2 2 2 2 2 2 2 6 2 2 2 5" xfId="1207"/>
    <cellStyle name="常规 2 2 2 2 2 2 2 2 2 2 6 2 2 3" xfId="1208"/>
    <cellStyle name="常规 2 2 2 2 2 2 2 2 2 2 6 2 2 4" xfId="1209"/>
    <cellStyle name="常规 2 2 2 2 2 2 2 2 2 2 6 2 2 5" xfId="1210"/>
    <cellStyle name="常规 2 2 2 2 2 2 2 2 2 2 6 2 3" xfId="1211"/>
    <cellStyle name="常规 2 2 2 2 2 2 2 2 2 2 6 2 4" xfId="1212"/>
    <cellStyle name="常规 2 2 2 2 2 2 2 2 2 2 6 2 5" xfId="1213"/>
    <cellStyle name="常规 2 2 2 2 2 2 2 2 2 2 6 2 6" xfId="1214"/>
    <cellStyle name="常规 2 2 2 2 2 2 2 2 2 2 6 2 7" xfId="1215"/>
    <cellStyle name="常规 2 2 2 2 2 2 2 2 2 2 6 2 8" xfId="1216"/>
    <cellStyle name="常规 2 2 2 2 2 2 2 2 2 2 6 2 9" xfId="1217"/>
    <cellStyle name="常规 2 2 2 2 2 2 2 2 2 2 6 3" xfId="1218"/>
    <cellStyle name="常规 2 2 2 2 2 2 2 2 2 2 6 3 2" xfId="1219"/>
    <cellStyle name="常规 2 2 2 2 2 2 2 2 2 2 6 3 2 2" xfId="1220"/>
    <cellStyle name="常规 2 2 2 2 2 2 2 2 2 2 6 3 2 3" xfId="1221"/>
    <cellStyle name="常规 2 2 2 2 2 2 2 2 2 2 6 3 2 4" xfId="1222"/>
    <cellStyle name="常规 2 2 2 2 2 2 2 2 2 2 6 3 2 5" xfId="1223"/>
    <cellStyle name="常规 2 2 2 2 2 2 2 2 2 2 6 3 3" xfId="1224"/>
    <cellStyle name="常规 2 2 2 2 2 2 2 2 2 2 6 3 4" xfId="1225"/>
    <cellStyle name="常规 2 2 2 2 2 2 2 2 2 2 6 3 5" xfId="1226"/>
    <cellStyle name="常规 2 2 2 2 2 2 2 2 2 2 6 4" xfId="1227"/>
    <cellStyle name="常规 2 2 2 2 2 2 2 2 2 2 6 5" xfId="1228"/>
    <cellStyle name="常规 2 2 2 2 2 2 2 2 2 2 6 6" xfId="1229"/>
    <cellStyle name="常规 2 2 2 2 2 2 2 2 2 2 6 7" xfId="1230"/>
    <cellStyle name="常规 2 2 2 2 2 2 2 2 2 2 6 8" xfId="1231"/>
    <cellStyle name="常规 2 2 2 2 2 2 2 2 2 2 6 9" xfId="1232"/>
    <cellStyle name="常规 2 2 2 2 2 2 2 2 2 2 60" xfId="1233"/>
    <cellStyle name="常规 2 2 2 2 2 2 2 2 2 2 61" xfId="1234"/>
    <cellStyle name="常规 2 2 2 2 2 2 2 2 2 2 62" xfId="1235"/>
    <cellStyle name="常规 2 2 2 2 2 2 2 2 2 2 62 2" xfId="1236"/>
    <cellStyle name="常规 2 2 2 2 2 2 2 2 2 2 62 2 2" xfId="1237"/>
    <cellStyle name="常规 2 2 2 2 2 2 2 2 2 2 62 2 3" xfId="1238"/>
    <cellStyle name="常规 2 2 2 2 2 2 2 2 2 2 62 2 4" xfId="1239"/>
    <cellStyle name="常规 2 2 2 2 2 2 2 2 2 2 62 2 5" xfId="1240"/>
    <cellStyle name="常规 2 2 2 2 2 2 2 2 2 2 62 3" xfId="1241"/>
    <cellStyle name="常规 2 2 2 2 2 2 2 2 2 2 62 4" xfId="1242"/>
    <cellStyle name="常规 2 2 2 2 2 2 2 2 2 2 62 5" xfId="1243"/>
    <cellStyle name="常规 2 2 2 2 2 2 2 2 2 2 63" xfId="1244"/>
    <cellStyle name="常规 2 2 2 2 2 2 2 2 2 2 64" xfId="1245"/>
    <cellStyle name="常规 2 2 2 2 2 2 2 2 2 2 65" xfId="1246"/>
    <cellStyle name="常规 2 2 2 2 2 2 2 2 2 2 66" xfId="1247"/>
    <cellStyle name="常规 2 2 2 2 2 2 2 2 2 2 67" xfId="1248"/>
    <cellStyle name="常规 2 2 2 2 2 2 2 2 2 2 68" xfId="1249"/>
    <cellStyle name="常规 2 2 2 2 2 2 2 2 2 2 69" xfId="1250"/>
    <cellStyle name="常规 2 2 2 2 2 2 2 2 2 2 7" xfId="1251"/>
    <cellStyle name="常规 2 2 2 2 2 2 2 2 2 2 70" xfId="1252"/>
    <cellStyle name="常规 2 2 2 2 2 2 2 2 2 2 71" xfId="1253"/>
    <cellStyle name="常规 2 2 2 2 2 2 2 2 2 2 72" xfId="1254"/>
    <cellStyle name="常规 2 2 2 2 2 2 2 2 2 2 73" xfId="1255"/>
    <cellStyle name="常规 2 2 2 2 2 2 2 2 2 2 73 2" xfId="1256"/>
    <cellStyle name="常规 2 2 2 2 2 2 2 2 2 2 73 3" xfId="1257"/>
    <cellStyle name="常规 2 2 2 2 2 2 2 2 2 2 74" xfId="1258"/>
    <cellStyle name="常规 2 2 2 2 2 2 2 2 2 2 75" xfId="1259"/>
    <cellStyle name="常规 2 2 2 2 2 2 2 2 2 2 8" xfId="1260"/>
    <cellStyle name="常规 2 2 2 2 2 2 2 2 2 2 9" xfId="1261"/>
    <cellStyle name="常规 2 2 2 2 2 2 2 2 2 20" xfId="1262"/>
    <cellStyle name="常规 2 2 2 2 2 2 2 2 2 21" xfId="1263"/>
    <cellStyle name="常规 2 2 2 2 2 2 2 2 2 22" xfId="1264"/>
    <cellStyle name="常规 2 2 2 2 2 2 2 2 2 23" xfId="1265"/>
    <cellStyle name="常规 2 2 2 2 2 2 2 2 2 24" xfId="1266"/>
    <cellStyle name="常规 2 2 2 2 2 2 2 2 2 25" xfId="1267"/>
    <cellStyle name="常规 2 2 2 2 2 2 2 2 2 26" xfId="1268"/>
    <cellStyle name="常规 2 2 2 2 2 2 2 2 2 27" xfId="1269"/>
    <cellStyle name="常规 2 2 2 2 2 2 2 2 2 28" xfId="1270"/>
    <cellStyle name="常规 2 2 2 2 2 2 2 2 2 29" xfId="1271"/>
    <cellStyle name="常规 2 2 2 2 2 2 2 2 2 3" xfId="1272"/>
    <cellStyle name="常规 2 2 2 2 2 2 2 2 2 3 2" xfId="1273"/>
    <cellStyle name="常规 2 2 2 2 2 2 2 2 2 3 2 2" xfId="1274"/>
    <cellStyle name="常规 2 2 2 2 2 2 2 2 2 30" xfId="1275"/>
    <cellStyle name="常规 2 2 2 2 2 2 2 2 2 31" xfId="1276"/>
    <cellStyle name="常规 2 2 2 2 2 2 2 2 2 32" xfId="1277"/>
    <cellStyle name="常规 2 2 2 2 2 2 2 2 2 33" xfId="1278"/>
    <cellStyle name="常规 2 2 2 2 2 2 2 2 2 34" xfId="1279"/>
    <cellStyle name="常规 2 2 2 2 2 2 2 2 2 35" xfId="1280"/>
    <cellStyle name="常规 2 2 2 2 2 2 2 2 2 36" xfId="1281"/>
    <cellStyle name="常规 2 2 2 2 2 2 2 2 2 37" xfId="1282"/>
    <cellStyle name="常规 2 2 2 2 2 2 2 2 2 38" xfId="1283"/>
    <cellStyle name="常规 2 2 2 2 2 2 2 2 2 39" xfId="1284"/>
    <cellStyle name="常规 2 2 2 2 2 2 2 2 2 39 2" xfId="1285"/>
    <cellStyle name="常规 2 2 2 2 2 2 2 2 2 39 2 2" xfId="1286"/>
    <cellStyle name="常规 2 2 2 2 2 2 2 2 2 39 2 2 2" xfId="1287"/>
    <cellStyle name="常规 2 2 2 2 2 2 2 2 2 39 2 3" xfId="1288"/>
    <cellStyle name="常规 2 2 2 2 2 2 2 2 2 39 2 4" xfId="1289"/>
    <cellStyle name="常规 2 2 2 2 2 2 2 2 2 39 2 5" xfId="1290"/>
    <cellStyle name="常规 2 2 2 2 2 2 2 2 2 39 2 6" xfId="1291"/>
    <cellStyle name="常规 2 2 2 2 2 2 2 2 2 39 2 7" xfId="1292"/>
    <cellStyle name="常规 2 2 2 2 2 2 2 2 2 39 3" xfId="1293"/>
    <cellStyle name="常规 2 2 2 2 2 2 2 2 2 39 3 2" xfId="1294"/>
    <cellStyle name="常规 2 2 2 2 2 2 2 2 2 39 4" xfId="1295"/>
    <cellStyle name="常规 2 2 2 2 2 2 2 2 2 39 5" xfId="1296"/>
    <cellStyle name="常规 2 2 2 2 2 2 2 2 2 39 6" xfId="1297"/>
    <cellStyle name="常规 2 2 2 2 2 2 2 2 2 39 7" xfId="1298"/>
    <cellStyle name="常规 2 2 2 2 2 2 2 2 2 4" xfId="1299"/>
    <cellStyle name="常规 2 2 2 2 2 2 2 2 2 40" xfId="1300"/>
    <cellStyle name="常规 2 2 2 2 2 2 2 2 2 41" xfId="1301"/>
    <cellStyle name="常规 2 2 2 2 2 2 2 2 2 42" xfId="1302"/>
    <cellStyle name="常规 2 2 2 2 2 2 2 2 2 43" xfId="1303"/>
    <cellStyle name="常规 2 2 2 2 2 2 2 2 2 44" xfId="1304"/>
    <cellStyle name="常规 2 2 2 2 2 2 2 2 2 44 2" xfId="1305"/>
    <cellStyle name="常规 2 2 2 2 2 2 2 2 2 45" xfId="1306"/>
    <cellStyle name="常规 2 2 2 2 2 2 2 2 2 46" xfId="1307"/>
    <cellStyle name="常规 2 2 2 2 2 2 2 2 2 47" xfId="1308"/>
    <cellStyle name="常规 2 2 2 2 2 2 2 2 2 48" xfId="1309"/>
    <cellStyle name="常规 2 2 2 2 2 2 2 2 2 49" xfId="1310"/>
    <cellStyle name="常规 2 2 2 2 2 2 2 2 2 5" xfId="1311"/>
    <cellStyle name="常规 2 2 2 2 2 2 2 2 2 50" xfId="1312"/>
    <cellStyle name="常规 2 2 2 2 2 2 2 2 2 51" xfId="1313"/>
    <cellStyle name="常规 2 2 2 2 2 2 2 2 2 52" xfId="1314"/>
    <cellStyle name="常规 2 2 2 2 2 2 2 2 2 53" xfId="1315"/>
    <cellStyle name="常规 2 2 2 2 2 2 2 2 2 54" xfId="1316"/>
    <cellStyle name="常规 2 2 2 2 2 2 2 2 2 55" xfId="1317"/>
    <cellStyle name="常规 2 2 2 2 2 2 2 2 2 56" xfId="1318"/>
    <cellStyle name="常规 2 2 2 2 2 2 2 2 2 57" xfId="1319"/>
    <cellStyle name="常规 2 2 2 2 2 2 2 2 2 58" xfId="1320"/>
    <cellStyle name="常规 2 2 2 2 2 2 2 2 2 59" xfId="1321"/>
    <cellStyle name="常规 2 2 2 2 2 2 2 2 2 6" xfId="1322"/>
    <cellStyle name="常规 2 2 2 2 2 2 2 2 2 60" xfId="1323"/>
    <cellStyle name="常规 2 2 2 2 2 2 2 2 2 61" xfId="1324"/>
    <cellStyle name="常规 2 2 2 2 2 2 2 2 2 62" xfId="1325"/>
    <cellStyle name="常规 2 2 2 2 2 2 2 2 2 63" xfId="1326"/>
    <cellStyle name="常规 2 2 2 2 2 2 2 2 2 63 2" xfId="1327"/>
    <cellStyle name="常规 2 2 2 2 2 2 2 2 2 63 2 2" xfId="1328"/>
    <cellStyle name="常规 2 2 2 2 2 2 2 2 2 63 2 3" xfId="1329"/>
    <cellStyle name="常规 2 2 2 2 2 2 2 2 2 63 2 4" xfId="1330"/>
    <cellStyle name="常规 2 2 2 2 2 2 2 2 2 63 2 5" xfId="1331"/>
    <cellStyle name="常规 2 2 2 2 2 2 2 2 2 63 3" xfId="1332"/>
    <cellStyle name="常规 2 2 2 2 2 2 2 2 2 63 4" xfId="1333"/>
    <cellStyle name="常规 2 2 2 2 2 2 2 2 2 63 5" xfId="1334"/>
    <cellStyle name="常规 2 2 2 2 2 2 2 2 2 64" xfId="1335"/>
    <cellStyle name="常规 2 2 2 2 2 2 2 2 2 65" xfId="1336"/>
    <cellStyle name="常规 2 2 2 2 2 2 2 2 2 66" xfId="1337"/>
    <cellStyle name="常规 2 2 2 2 2 2 2 2 2 67" xfId="1338"/>
    <cellStyle name="常规 2 2 2 2 2 2 2 2 2 68" xfId="1339"/>
    <cellStyle name="常规 2 2 2 2 2 2 2 2 2 69" xfId="1340"/>
    <cellStyle name="常规 2 2 2 2 2 2 2 2 2 7" xfId="1341"/>
    <cellStyle name="常规 2 2 2 2 2 2 2 2 2 7 2" xfId="1342"/>
    <cellStyle name="常规 2 2 2 2 2 2 2 2 2 7 2 2" xfId="1343"/>
    <cellStyle name="常规 2 2 2 2 2 2 2 2 2 7 2 2 2" xfId="1344"/>
    <cellStyle name="常规 2 2 2 2 2 2 2 2 2 7 2 2 2 2" xfId="1345"/>
    <cellStyle name="常规 2 2 2 2 2 2 2 2 2 7 2 2 2 3" xfId="1346"/>
    <cellStyle name="常规 2 2 2 2 2 2 2 2 2 7 2 2 2 4" xfId="1347"/>
    <cellStyle name="常规 2 2 2 2 2 2 2 2 2 7 2 2 2 5" xfId="1348"/>
    <cellStyle name="常规 2 2 2 2 2 2 2 2 2 7 2 2 3" xfId="1349"/>
    <cellStyle name="常规 2 2 2 2 2 2 2 2 2 7 2 2 4" xfId="1350"/>
    <cellStyle name="常规 2 2 2 2 2 2 2 2 2 7 2 2 5" xfId="1351"/>
    <cellStyle name="常规 2 2 2 2 2 2 2 2 2 7 2 3" xfId="1352"/>
    <cellStyle name="常规 2 2 2 2 2 2 2 2 2 7 2 4" xfId="1353"/>
    <cellStyle name="常规 2 2 2 2 2 2 2 2 2 7 2 5" xfId="1354"/>
    <cellStyle name="常规 2 2 2 2 2 2 2 2 2 7 2 6" xfId="1355"/>
    <cellStyle name="常规 2 2 2 2 2 2 2 2 2 7 2 7" xfId="1356"/>
    <cellStyle name="常规 2 2 2 2 2 2 2 2 2 7 2 8" xfId="1357"/>
    <cellStyle name="常规 2 2 2 2 2 2 2 2 2 7 2 9" xfId="1358"/>
    <cellStyle name="常规 2 2 2 2 2 2 2 2 2 7 3" xfId="1359"/>
    <cellStyle name="常规 2 2 2 2 2 2 2 2 2 7 3 2" xfId="1360"/>
    <cellStyle name="常规 2 2 2 2 2 2 2 2 2 7 3 2 2" xfId="1361"/>
    <cellStyle name="常规 2 2 2 2 2 2 2 2 2 7 3 2 3" xfId="1362"/>
    <cellStyle name="常规 2 2 2 2 2 2 2 2 2 7 3 2 4" xfId="1363"/>
    <cellStyle name="常规 2 2 2 2 2 2 2 2 2 7 3 2 5" xfId="1364"/>
    <cellStyle name="常规 2 2 2 2 2 2 2 2 2 7 3 3" xfId="1365"/>
    <cellStyle name="常规 2 2 2 2 2 2 2 2 2 7 3 4" xfId="1366"/>
    <cellStyle name="常规 2 2 2 2 2 2 2 2 2 7 3 5" xfId="1367"/>
    <cellStyle name="常规 2 2 2 2 2 2 2 2 2 7 4" xfId="1368"/>
    <cellStyle name="常规 2 2 2 2 2 2 2 2 2 7 5" xfId="1369"/>
    <cellStyle name="常规 2 2 2 2 2 2 2 2 2 7 6" xfId="1370"/>
    <cellStyle name="常规 2 2 2 2 2 2 2 2 2 7 7" xfId="1371"/>
    <cellStyle name="常规 2 2 2 2 2 2 2 2 2 7 8" xfId="1372"/>
    <cellStyle name="常规 2 2 2 2 2 2 2 2 2 7 9" xfId="1373"/>
    <cellStyle name="常规 2 2 2 2 2 2 2 2 2 70" xfId="1374"/>
    <cellStyle name="常规 2 2 2 2 2 2 2 2 2 71" xfId="1375"/>
    <cellStyle name="常规 2 2 2 2 2 2 2 2 2 72" xfId="1376"/>
    <cellStyle name="常规 2 2 2 2 2 2 2 2 2 73" xfId="1377"/>
    <cellStyle name="常规 2 2 2 2 2 2 2 2 2 74" xfId="1378"/>
    <cellStyle name="常规 2 2 2 2 2 2 2 2 2 74 2" xfId="1379"/>
    <cellStyle name="常规 2 2 2 2 2 2 2 2 2 74 3" xfId="1380"/>
    <cellStyle name="常规 2 2 2 2 2 2 2 2 2 75" xfId="1381"/>
    <cellStyle name="常规 2 2 2 2 2 2 2 2 2 76" xfId="1382"/>
    <cellStyle name="常规 2 2 2 2 2 2 2 2 2 8" xfId="1383"/>
    <cellStyle name="常规 2 2 2 2 2 2 2 2 2 9" xfId="1384"/>
    <cellStyle name="常规 2 2 2 2 2 2 2 2 20" xfId="1385"/>
    <cellStyle name="常规 2 2 2 2 2 2 2 2 21" xfId="1386"/>
    <cellStyle name="常规 2 2 2 2 2 2 2 2 22" xfId="1387"/>
    <cellStyle name="常规 2 2 2 2 2 2 2 2 23" xfId="1388"/>
    <cellStyle name="常规 2 2 2 2 2 2 2 2 24" xfId="1389"/>
    <cellStyle name="常规 2 2 2 2 2 2 2 2 25" xfId="1390"/>
    <cellStyle name="常规 2 2 2 2 2 2 2 2 26" xfId="1391"/>
    <cellStyle name="常规 2 2 2 2 2 2 2 2 27" xfId="1392"/>
    <cellStyle name="常规 2 2 2 2 2 2 2 2 28" xfId="1393"/>
    <cellStyle name="常规 2 2 2 2 2 2 2 2 29" xfId="1394"/>
    <cellStyle name="常规 2 2 2 2 2 2 2 2 3" xfId="1395"/>
    <cellStyle name="常规 2 2 2 2 2 2 2 2 3 2" xfId="1396"/>
    <cellStyle name="常规 2 2 2 2 2 2 2 2 3 2 2" xfId="1397"/>
    <cellStyle name="常规 2 2 2 2 2 2 2 2 3 2 2 2" xfId="1398"/>
    <cellStyle name="常规 2 2 2 2 2 2 2 2 3 3" xfId="1399"/>
    <cellStyle name="常规 2 2 2 2 2 2 2 2 3 4" xfId="1400"/>
    <cellStyle name="常规 2 2 2 2 2 2 2 2 30" xfId="1401"/>
    <cellStyle name="常规 2 2 2 2 2 2 2 2 31" xfId="1402"/>
    <cellStyle name="常规 2 2 2 2 2 2 2 2 32" xfId="1403"/>
    <cellStyle name="常规 2 2 2 2 2 2 2 2 33" xfId="1404"/>
    <cellStyle name="常规 2 2 2 2 2 2 2 2 34" xfId="1405"/>
    <cellStyle name="常规 2 2 2 2 2 2 2 2 35" xfId="1406"/>
    <cellStyle name="常规 2 2 2 2 2 2 2 2 36" xfId="1407"/>
    <cellStyle name="常规 2 2 2 2 2 2 2 2 37" xfId="1408"/>
    <cellStyle name="常规 2 2 2 2 2 2 2 2 38" xfId="1409"/>
    <cellStyle name="常规 2 2 2 2 2 2 2 2 39" xfId="1410"/>
    <cellStyle name="常规 2 2 2 2 2 2 2 2 39 2" xfId="1411"/>
    <cellStyle name="常规 2 2 2 2 2 2 2 2 39 2 2" xfId="1412"/>
    <cellStyle name="常规 2 2 2 2 2 2 2 2 39 2 2 2" xfId="1413"/>
    <cellStyle name="常规 2 2 2 2 2 2 2 2 39 2 3" xfId="1414"/>
    <cellStyle name="常规 2 2 2 2 2 2 2 2 39 2 4" xfId="1415"/>
    <cellStyle name="常规 2 2 2 2 2 2 2 2 39 2 5" xfId="1416"/>
    <cellStyle name="常规 2 2 2 2 2 2 2 2 39 2 6" xfId="1417"/>
    <cellStyle name="常规 2 2 2 2 2 2 2 2 39 2 7" xfId="1418"/>
    <cellStyle name="常规 2 2 2 2 2 2 2 2 39 3" xfId="1419"/>
    <cellStyle name="常规 2 2 2 2 2 2 2 2 39 3 2" xfId="1420"/>
    <cellStyle name="常规 2 2 2 2 2 2 2 2 39 4" xfId="1421"/>
    <cellStyle name="常规 2 2 2 2 2 2 2 2 39 5" xfId="1422"/>
    <cellStyle name="常规 2 2 2 2 2 2 2 2 39 6" xfId="1423"/>
    <cellStyle name="常规 2 2 2 2 2 2 2 2 39 7" xfId="1424"/>
    <cellStyle name="常规 2 2 2 2 2 2 2 2 4" xfId="1425"/>
    <cellStyle name="常规 2 2 2 2 2 2 2 2 4 2" xfId="1426"/>
    <cellStyle name="常规 2 2 2 2 2 2 2 2 4 2 2" xfId="1427"/>
    <cellStyle name="常规 2 2 2 2 2 2 2 2 40" xfId="1428"/>
    <cellStyle name="常规 2 2 2 2 2 2 2 2 41" xfId="1429"/>
    <cellStyle name="常规 2 2 2 2 2 2 2 2 42" xfId="1430"/>
    <cellStyle name="常规 2 2 2 2 2 2 2 2 43" xfId="1431"/>
    <cellStyle name="常规 2 2 2 2 2 2 2 2 44" xfId="1432"/>
    <cellStyle name="常规 2 2 2 2 2 2 2 2 44 2" xfId="1433"/>
    <cellStyle name="常规 2 2 2 2 2 2 2 2 45" xfId="1434"/>
    <cellStyle name="常规 2 2 2 2 2 2 2 2 46" xfId="1435"/>
    <cellStyle name="常规 2 2 2 2 2 2 2 2 47" xfId="1436"/>
    <cellStyle name="常规 2 2 2 2 2 2 2 2 48" xfId="1437"/>
    <cellStyle name="常规 2 2 2 2 2 2 2 2 49" xfId="1438"/>
    <cellStyle name="常规 2 2 2 2 2 2 2 2 5" xfId="1439"/>
    <cellStyle name="常规 2 2 2 2 2 2 2 2 50" xfId="1440"/>
    <cellStyle name="常规 2 2 2 2 2 2 2 2 51" xfId="1441"/>
    <cellStyle name="常规 2 2 2 2 2 2 2 2 52" xfId="1442"/>
    <cellStyle name="常规 2 2 2 2 2 2 2 2 53" xfId="1443"/>
    <cellStyle name="常规 2 2 2 2 2 2 2 2 54" xfId="1444"/>
    <cellStyle name="常规 2 2 2 2 2 2 2 2 55" xfId="1445"/>
    <cellStyle name="常规 2 2 2 2 2 2 2 2 56" xfId="1446"/>
    <cellStyle name="常规 2 2 2 2 2 2 2 2 57" xfId="1447"/>
    <cellStyle name="常规 2 2 2 2 2 2 2 2 58" xfId="1448"/>
    <cellStyle name="常规 2 2 2 2 2 2 2 2 59" xfId="1449"/>
    <cellStyle name="常规 2 2 2 2 2 2 2 2 6" xfId="1450"/>
    <cellStyle name="常规 2 2 2 2 2 2 2 2 60" xfId="1451"/>
    <cellStyle name="常规 2 2 2 2 2 2 2 2 61" xfId="1452"/>
    <cellStyle name="常规 2 2 2 2 2 2 2 2 62" xfId="1453"/>
    <cellStyle name="常规 2 2 2 2 2 2 2 2 63" xfId="1454"/>
    <cellStyle name="常规 2 2 2 2 2 2 2 2 63 2" xfId="1455"/>
    <cellStyle name="常规 2 2 2 2 2 2 2 2 63 2 2" xfId="1456"/>
    <cellStyle name="常规 2 2 2 2 2 2 2 2 63 2 3" xfId="1457"/>
    <cellStyle name="常规 2 2 2 2 2 2 2 2 63 2 4" xfId="1458"/>
    <cellStyle name="常规 2 2 2 2 2 2 2 2 63 2 5" xfId="1459"/>
    <cellStyle name="常规 2 2 2 2 2 2 2 2 63 3" xfId="1460"/>
    <cellStyle name="常规 2 2 2 2 2 2 2 2 63 4" xfId="1461"/>
    <cellStyle name="常规 2 2 2 2 2 2 2 2 63 5" xfId="1462"/>
    <cellStyle name="常规 2 2 2 2 2 2 2 2 64" xfId="1463"/>
    <cellStyle name="常规 2 2 2 2 2 2 2 2 65" xfId="1464"/>
    <cellStyle name="常规 2 2 2 2 2 2 2 2 66" xfId="1465"/>
    <cellStyle name="常规 2 2 2 2 2 2 2 2 67" xfId="1466"/>
    <cellStyle name="常规 2 2 2 2 2 2 2 2 68" xfId="1467"/>
    <cellStyle name="常规 2 2 2 2 2 2 2 2 69" xfId="1468"/>
    <cellStyle name="常规 2 2 2 2 2 2 2 2 7" xfId="1469"/>
    <cellStyle name="常规 2 2 2 2 2 2 2 2 7 2" xfId="1470"/>
    <cellStyle name="常规 2 2 2 2 2 2 2 2 7 2 2" xfId="1471"/>
    <cellStyle name="常规 2 2 2 2 2 2 2 2 7 2 2 2" xfId="1472"/>
    <cellStyle name="常规 2 2 2 2 2 2 2 2 7 2 2 2 2" xfId="1473"/>
    <cellStyle name="常规 2 2 2 2 2 2 2 2 7 2 2 2 3" xfId="1474"/>
    <cellStyle name="常规 2 2 2 2 2 2 2 2 7 2 2 2 4" xfId="1475"/>
    <cellStyle name="常规 2 2 2 2 2 2 2 2 7 2 2 2 5" xfId="1476"/>
    <cellStyle name="常规 2 2 2 2 2 2 2 2 7 2 2 3" xfId="1477"/>
    <cellStyle name="常规 2 2 2 2 2 2 2 2 7 2 2 4" xfId="1478"/>
    <cellStyle name="常规 2 2 2 2 2 2 2 2 7 2 2 5" xfId="1479"/>
    <cellStyle name="常规 2 2 2 2 2 2 2 2 7 2 3" xfId="1480"/>
    <cellStyle name="常规 2 2 2 2 2 2 2 2 7 2 4" xfId="1481"/>
    <cellStyle name="常规 2 2 2 2 2 2 2 2 7 2 5" xfId="1482"/>
    <cellStyle name="常规 2 2 2 2 2 2 2 2 7 2 6" xfId="1483"/>
    <cellStyle name="常规 2 2 2 2 2 2 2 2 7 2 7" xfId="1484"/>
    <cellStyle name="常规 2 2 2 2 2 2 2 2 7 2 8" xfId="1485"/>
    <cellStyle name="常规 2 2 2 2 2 2 2 2 7 2 9" xfId="1486"/>
    <cellStyle name="常规 2 2 2 2 2 2 2 2 7 3" xfId="1487"/>
    <cellStyle name="常规 2 2 2 2 2 2 2 2 7 3 2" xfId="1488"/>
    <cellStyle name="常规 2 2 2 2 2 2 2 2 7 3 2 2" xfId="1489"/>
    <cellStyle name="常规 2 2 2 2 2 2 2 2 7 3 2 3" xfId="1490"/>
    <cellStyle name="常规 2 2 2 2 2 2 2 2 7 3 2 4" xfId="1491"/>
    <cellStyle name="常规 2 2 2 2 2 2 2 2 7 3 2 5" xfId="1492"/>
    <cellStyle name="常规 2 2 2 2 2 2 2 2 7 3 3" xfId="1493"/>
    <cellStyle name="常规 2 2 2 2 2 2 2 2 7 3 4" xfId="1494"/>
    <cellStyle name="常规 2 2 2 2 2 2 2 2 7 3 5" xfId="1495"/>
    <cellStyle name="常规 2 2 2 2 2 2 2 2 7 4" xfId="1496"/>
    <cellStyle name="常规 2 2 2 2 2 2 2 2 7 5" xfId="1497"/>
    <cellStyle name="常规 2 2 2 2 2 2 2 2 7 6" xfId="1498"/>
    <cellStyle name="常规 2 2 2 2 2 2 2 2 7 7" xfId="1499"/>
    <cellStyle name="常规 2 2 2 2 2 2 2 2 7 8" xfId="1500"/>
    <cellStyle name="常规 2 2 2 2 2 2 2 2 7 9" xfId="1501"/>
    <cellStyle name="常规 2 2 2 2 2 2 2 2 70" xfId="1502"/>
    <cellStyle name="常规 2 2 2 2 2 2 2 2 71" xfId="1503"/>
    <cellStyle name="常规 2 2 2 2 2 2 2 2 72" xfId="1504"/>
    <cellStyle name="常规 2 2 2 2 2 2 2 2 73" xfId="1505"/>
    <cellStyle name="常规 2 2 2 2 2 2 2 2 74" xfId="1506"/>
    <cellStyle name="常规 2 2 2 2 2 2 2 2 74 2" xfId="1507"/>
    <cellStyle name="常规 2 2 2 2 2 2 2 2 74 3" xfId="1508"/>
    <cellStyle name="常规 2 2 2 2 2 2 2 2 75" xfId="1509"/>
    <cellStyle name="常规 2 2 2 2 2 2 2 2 76" xfId="1510"/>
    <cellStyle name="常规 2 2 2 2 2 2 2 2 8" xfId="1511"/>
    <cellStyle name="常规 2 2 2 2 2 2 2 2 9" xfId="1512"/>
    <cellStyle name="常规 2 2 2 2 2 2 2 20" xfId="1513"/>
    <cellStyle name="常规 2 2 2 2 2 2 2 21" xfId="1514"/>
    <cellStyle name="常规 2 2 2 2 2 2 2 22" xfId="1515"/>
    <cellStyle name="常规 2 2 2 2 2 2 2 23" xfId="1516"/>
    <cellStyle name="常规 2 2 2 2 2 2 2 24" xfId="1517"/>
    <cellStyle name="常规 2 2 2 2 2 2 2 25" xfId="1518"/>
    <cellStyle name="常规 2 2 2 2 2 2 2 26" xfId="1519"/>
    <cellStyle name="常规 2 2 2 2 2 2 2 27" xfId="1520"/>
    <cellStyle name="常规 2 2 2 2 2 2 2 28" xfId="1521"/>
    <cellStyle name="常规 2 2 2 2 2 2 2 29" xfId="1522"/>
    <cellStyle name="常规 2 2 2 2 2 2 2 3" xfId="1523"/>
    <cellStyle name="常规 2 2 2 2 2 2 2 3 2" xfId="1524"/>
    <cellStyle name="常规 2 2 2 2 2 2 2 3 2 2" xfId="1525"/>
    <cellStyle name="常规 2 2 2 2 2 2 2 3 2 2 2" xfId="1526"/>
    <cellStyle name="常规 2 2 2 2 2 2 2 3 2 2 2 2" xfId="1527"/>
    <cellStyle name="常规 2 2 2 2 2 2 2 3 2 3" xfId="1528"/>
    <cellStyle name="常规 2 2 2 2 2 2 2 3 2 4" xfId="1529"/>
    <cellStyle name="常规 2 2 2 2 2 2 2 3 3" xfId="1530"/>
    <cellStyle name="常规 2 2 2 2 2 2 2 3 3 2" xfId="1531"/>
    <cellStyle name="常规 2 2 2 2 2 2 2 3 3 2 2" xfId="1532"/>
    <cellStyle name="常规 2 2 2 2 2 2 2 3 4" xfId="1533"/>
    <cellStyle name="常规 2 2 2 2 2 2 2 30" xfId="1534"/>
    <cellStyle name="常规 2 2 2 2 2 2 2 31" xfId="1535"/>
    <cellStyle name="常规 2 2 2 2 2 2 2 32" xfId="1536"/>
    <cellStyle name="常规 2 2 2 2 2 2 2 33" xfId="1537"/>
    <cellStyle name="常规 2 2 2 2 2 2 2 34" xfId="1538"/>
    <cellStyle name="常规 2 2 2 2 2 2 2 35" xfId="1539"/>
    <cellStyle name="常规 2 2 2 2 2 2 2 36" xfId="1540"/>
    <cellStyle name="常规 2 2 2 2 2 2 2 37" xfId="1541"/>
    <cellStyle name="常规 2 2 2 2 2 2 2 38" xfId="1542"/>
    <cellStyle name="常规 2 2 2 2 2 2 2 39" xfId="1543"/>
    <cellStyle name="常规 2 2 2 2 2 2 2 4" xfId="1544"/>
    <cellStyle name="常规 2 2 2 2 2 2 2 4 2" xfId="1545"/>
    <cellStyle name="常规 2 2 2 2 2 2 2 4 2 2" xfId="1546"/>
    <cellStyle name="常规 2 2 2 2 2 2 2 40" xfId="1547"/>
    <cellStyle name="常规 2 2 2 2 2 2 2 40 2" xfId="1548"/>
    <cellStyle name="常规 2 2 2 2 2 2 2 40 2 2" xfId="1549"/>
    <cellStyle name="常规 2 2 2 2 2 2 2 40 2 2 2" xfId="1550"/>
    <cellStyle name="常规 2 2 2 2 2 2 2 40 2 3" xfId="1551"/>
    <cellStyle name="常规 2 2 2 2 2 2 2 40 2 4" xfId="1552"/>
    <cellStyle name="常规 2 2 2 2 2 2 2 40 2 5" xfId="1553"/>
    <cellStyle name="常规 2 2 2 2 2 2 2 40 2 6" xfId="1554"/>
    <cellStyle name="常规 2 2 2 2 2 2 2 40 2 7" xfId="1555"/>
    <cellStyle name="常规 2 2 2 2 2 2 2 40 3" xfId="1556"/>
    <cellStyle name="常规 2 2 2 2 2 2 2 40 3 2" xfId="1557"/>
    <cellStyle name="常规 2 2 2 2 2 2 2 40 4" xfId="1558"/>
    <cellStyle name="常规 2 2 2 2 2 2 2 40 5" xfId="1559"/>
    <cellStyle name="常规 2 2 2 2 2 2 2 40 6" xfId="1560"/>
    <cellStyle name="常规 2 2 2 2 2 2 2 40 7" xfId="1561"/>
    <cellStyle name="常规 2 2 2 2 2 2 2 41" xfId="1562"/>
    <cellStyle name="常规 2 2 2 2 2 2 2 42" xfId="1563"/>
    <cellStyle name="常规 2 2 2 2 2 2 2 43" xfId="1564"/>
    <cellStyle name="常规 2 2 2 2 2 2 2 44" xfId="1565"/>
    <cellStyle name="常规 2 2 2 2 2 2 2 45" xfId="1566"/>
    <cellStyle name="常规 2 2 2 2 2 2 2 45 2" xfId="1567"/>
    <cellStyle name="常规 2 2 2 2 2 2 2 46" xfId="1568"/>
    <cellStyle name="常规 2 2 2 2 2 2 2 47" xfId="1569"/>
    <cellStyle name="常规 2 2 2 2 2 2 2 48" xfId="1570"/>
    <cellStyle name="常规 2 2 2 2 2 2 2 49" xfId="1571"/>
    <cellStyle name="常规 2 2 2 2 2 2 2 5" xfId="1572"/>
    <cellStyle name="常规 2 2 2 2 2 2 2 50" xfId="1573"/>
    <cellStyle name="常规 2 2 2 2 2 2 2 51" xfId="1574"/>
    <cellStyle name="常规 2 2 2 2 2 2 2 52" xfId="1575"/>
    <cellStyle name="常规 2 2 2 2 2 2 2 53" xfId="1576"/>
    <cellStyle name="常规 2 2 2 2 2 2 2 54" xfId="1577"/>
    <cellStyle name="常规 2 2 2 2 2 2 2 55" xfId="1578"/>
    <cellStyle name="常规 2 2 2 2 2 2 2 56" xfId="1579"/>
    <cellStyle name="常规 2 2 2 2 2 2 2 57" xfId="1580"/>
    <cellStyle name="常规 2 2 2 2 2 2 2 58" xfId="1581"/>
    <cellStyle name="常规 2 2 2 2 2 2 2 59" xfId="1582"/>
    <cellStyle name="常规 2 2 2 2 2 2 2 6" xfId="1583"/>
    <cellStyle name="常规 2 2 2 2 2 2 2 60" xfId="1584"/>
    <cellStyle name="常规 2 2 2 2 2 2 2 61" xfId="1585"/>
    <cellStyle name="常规 2 2 2 2 2 2 2 62" xfId="1586"/>
    <cellStyle name="常规 2 2 2 2 2 2 2 63" xfId="1587"/>
    <cellStyle name="常规 2 2 2 2 2 2 2 64" xfId="1588"/>
    <cellStyle name="常规 2 2 2 2 2 2 2 64 2" xfId="1589"/>
    <cellStyle name="常规 2 2 2 2 2 2 2 64 2 2" xfId="1590"/>
    <cellStyle name="常规 2 2 2 2 2 2 2 64 2 3" xfId="1591"/>
    <cellStyle name="常规 2 2 2 2 2 2 2 64 2 4" xfId="1592"/>
    <cellStyle name="常规 2 2 2 2 2 2 2 64 2 5" xfId="1593"/>
    <cellStyle name="常规 2 2 2 2 2 2 2 64 3" xfId="1594"/>
    <cellStyle name="常规 2 2 2 2 2 2 2 64 4" xfId="1595"/>
    <cellStyle name="常规 2 2 2 2 2 2 2 64 5" xfId="1596"/>
    <cellStyle name="常规 2 2 2 2 2 2 2 65" xfId="1597"/>
    <cellStyle name="常规 2 2 2 2 2 2 2 66" xfId="1598"/>
    <cellStyle name="常规 2 2 2 2 2 2 2 67" xfId="1599"/>
    <cellStyle name="常规 2 2 2 2 2 2 2 68" xfId="1600"/>
    <cellStyle name="常规 2 2 2 2 2 2 2 69" xfId="1601"/>
    <cellStyle name="常规 2 2 2 2 2 2 2 7" xfId="1602"/>
    <cellStyle name="常规 2 2 2 2 2 2 2 70" xfId="1603"/>
    <cellStyle name="常规 2 2 2 2 2 2 2 71" xfId="1604"/>
    <cellStyle name="常规 2 2 2 2 2 2 2 72" xfId="1605"/>
    <cellStyle name="常规 2 2 2 2 2 2 2 73" xfId="1606"/>
    <cellStyle name="常规 2 2 2 2 2 2 2 74" xfId="1607"/>
    <cellStyle name="常规 2 2 2 2 2 2 2 75" xfId="1608"/>
    <cellStyle name="常规 2 2 2 2 2 2 2 75 2" xfId="1609"/>
    <cellStyle name="常规 2 2 2 2 2 2 2 75 3" xfId="1610"/>
    <cellStyle name="常规 2 2 2 2 2 2 2 76" xfId="1611"/>
    <cellStyle name="常规 2 2 2 2 2 2 2 77" xfId="1612"/>
    <cellStyle name="常规 2 2 2 2 2 2 2 8" xfId="1613"/>
    <cellStyle name="常规 2 2 2 2 2 2 2 8 2" xfId="1614"/>
    <cellStyle name="常规 2 2 2 2 2 2 2 8 2 2" xfId="1615"/>
    <cellStyle name="常规 2 2 2 2 2 2 2 8 2 2 2" xfId="1616"/>
    <cellStyle name="常规 2 2 2 2 2 2 2 8 2 2 2 2" xfId="1617"/>
    <cellStyle name="常规 2 2 2 2 2 2 2 8 2 2 2 3" xfId="1618"/>
    <cellStyle name="常规 2 2 2 2 2 2 2 8 2 2 2 4" xfId="1619"/>
    <cellStyle name="常规 2 2 2 2 2 2 2 8 2 2 2 5" xfId="1620"/>
    <cellStyle name="常规 2 2 2 2 2 2 2 8 2 2 3" xfId="1621"/>
    <cellStyle name="常规 2 2 2 2 2 2 2 8 2 2 4" xfId="1622"/>
    <cellStyle name="常规 2 2 2 2 2 2 2 8 2 2 5" xfId="1623"/>
    <cellStyle name="常规 2 2 2 2 2 2 2 8 2 3" xfId="1624"/>
    <cellStyle name="常规 2 2 2 2 2 2 2 8 2 4" xfId="1625"/>
    <cellStyle name="常规 2 2 2 2 2 2 2 8 2 5" xfId="1626"/>
    <cellStyle name="常规 2 2 2 2 2 2 2 8 2 6" xfId="1627"/>
    <cellStyle name="常规 2 2 2 2 2 2 2 8 2 7" xfId="1628"/>
    <cellStyle name="常规 2 2 2 2 2 2 2 8 2 8" xfId="1629"/>
    <cellStyle name="常规 2 2 2 2 2 2 2 8 2 9" xfId="1630"/>
    <cellStyle name="常规 2 2 2 2 2 2 2 8 3" xfId="1631"/>
    <cellStyle name="常规 2 2 2 2 2 2 2 8 3 2" xfId="1632"/>
    <cellStyle name="常规 2 2 2 2 2 2 2 8 3 2 2" xfId="1633"/>
    <cellStyle name="常规 2 2 2 2 2 2 2 8 3 2 3" xfId="1634"/>
    <cellStyle name="常规 2 2 2 2 2 2 2 8 3 2 4" xfId="1635"/>
    <cellStyle name="常规 2 2 2 2 2 2 2 8 3 2 5" xfId="1636"/>
    <cellStyle name="常规 2 2 2 2 2 2 2 8 3 3" xfId="1637"/>
    <cellStyle name="常规 2 2 2 2 2 2 2 8 3 4" xfId="1638"/>
    <cellStyle name="常规 2 2 2 2 2 2 2 8 3 5" xfId="1639"/>
    <cellStyle name="常规 2 2 2 2 2 2 2 8 4" xfId="1640"/>
    <cellStyle name="常规 2 2 2 2 2 2 2 8 5" xfId="1641"/>
    <cellStyle name="常规 2 2 2 2 2 2 2 8 6" xfId="1642"/>
    <cellStyle name="常规 2 2 2 2 2 2 2 8 7" xfId="1643"/>
    <cellStyle name="常规 2 2 2 2 2 2 2 8 8" xfId="1644"/>
    <cellStyle name="常规 2 2 2 2 2 2 2 8 9" xfId="1645"/>
    <cellStyle name="常规 2 2 2 2 2 2 2 9" xfId="1646"/>
    <cellStyle name="常规 2 2 2 2 2 2 20" xfId="1647"/>
    <cellStyle name="常规 2 2 2 2 2 2 21" xfId="1648"/>
    <cellStyle name="常规 2 2 2 2 2 2 22" xfId="1649"/>
    <cellStyle name="常规 2 2 2 2 2 2 23" xfId="1650"/>
    <cellStyle name="常规 2 2 2 2 2 2 24" xfId="1651"/>
    <cellStyle name="常规 2 2 2 2 2 2 25" xfId="1652"/>
    <cellStyle name="常规 2 2 2 2 2 2 26" xfId="1653"/>
    <cellStyle name="常规 2 2 2 2 2 2 27" xfId="1654"/>
    <cellStyle name="常规 2 2 2 2 2 2 28" xfId="1655"/>
    <cellStyle name="常规 2 2 2 2 2 2 29" xfId="1656"/>
    <cellStyle name="常规 2 2 2 2 2 2 3" xfId="1657"/>
    <cellStyle name="常规 2 2 2 2 2 2 3 2" xfId="1658"/>
    <cellStyle name="常规 2 2 2 2 2 2 3 2 2" xfId="1659"/>
    <cellStyle name="常规 2 2 2 2 2 2 3 2 2 2" xfId="1660"/>
    <cellStyle name="常规 2 2 2 2 2 2 3 2 2 2 2" xfId="1661"/>
    <cellStyle name="常规 2 2 2 2 2 2 3 2 2 2 2 2" xfId="1662"/>
    <cellStyle name="常规 2 2 2 2 2 2 3 2 2 3" xfId="1663"/>
    <cellStyle name="常规 2 2 2 2 2 2 3 2 2 4" xfId="1664"/>
    <cellStyle name="常规 2 2 2 2 2 2 3 2 3" xfId="1665"/>
    <cellStyle name="常规 2 2 2 2 2 2 3 2 3 2" xfId="1666"/>
    <cellStyle name="常规 2 2 2 2 2 2 3 2 3 2 2" xfId="1667"/>
    <cellStyle name="常规 2 2 2 2 2 2 3 2 4" xfId="1668"/>
    <cellStyle name="常规 2 2 2 2 2 2 3 3" xfId="1669"/>
    <cellStyle name="常规 2 2 2 2 2 2 3 3 2" xfId="1670"/>
    <cellStyle name="常规 2 2 2 2 2 2 3 3 2 2" xfId="1671"/>
    <cellStyle name="常规 2 2 2 2 2 2 3 4" xfId="1672"/>
    <cellStyle name="常规 2 2 2 2 2 2 3 5" xfId="1673"/>
    <cellStyle name="常规 2 2 2 2 2 2 30" xfId="1674"/>
    <cellStyle name="常规 2 2 2 2 2 2 31" xfId="1675"/>
    <cellStyle name="常规 2 2 2 2 2 2 32" xfId="1676"/>
    <cellStyle name="常规 2 2 2 2 2 2 33" xfId="1677"/>
    <cellStyle name="常规 2 2 2 2 2 2 34" xfId="1678"/>
    <cellStyle name="常规 2 2 2 2 2 2 35" xfId="1679"/>
    <cellStyle name="常规 2 2 2 2 2 2 36" xfId="1680"/>
    <cellStyle name="常规 2 2 2 2 2 2 37" xfId="1681"/>
    <cellStyle name="常规 2 2 2 2 2 2 38" xfId="1682"/>
    <cellStyle name="常规 2 2 2 2 2 2 39" xfId="1683"/>
    <cellStyle name="常规 2 2 2 2 2 2 4" xfId="1684"/>
    <cellStyle name="常规 2 2 2 2 2 2 4 2" xfId="1685"/>
    <cellStyle name="常规 2 2 2 2 2 2 4 2 2" xfId="1686"/>
    <cellStyle name="常规 2 2 2 2 2 2 4 2 2 2" xfId="1687"/>
    <cellStyle name="常规 2 2 2 2 2 2 4 3" xfId="1688"/>
    <cellStyle name="常规 2 2 2 2 2 2 4 4" xfId="1689"/>
    <cellStyle name="常规 2 2 2 2 2 2 40" xfId="1690"/>
    <cellStyle name="常规 2 2 2 2 2 2 40 2" xfId="1691"/>
    <cellStyle name="常规 2 2 2 2 2 2 40 2 2" xfId="1692"/>
    <cellStyle name="常规 2 2 2 2 2 2 40 2 2 2" xfId="1693"/>
    <cellStyle name="常规 2 2 2 2 2 2 40 2 3" xfId="1694"/>
    <cellStyle name="常规 2 2 2 2 2 2 40 2 4" xfId="1695"/>
    <cellStyle name="常规 2 2 2 2 2 2 40 2 5" xfId="1696"/>
    <cellStyle name="常规 2 2 2 2 2 2 40 2 6" xfId="1697"/>
    <cellStyle name="常规 2 2 2 2 2 2 40 2 7" xfId="1698"/>
    <cellStyle name="常规 2 2 2 2 2 2 40 3" xfId="1699"/>
    <cellStyle name="常规 2 2 2 2 2 2 40 3 2" xfId="1700"/>
    <cellStyle name="常规 2 2 2 2 2 2 40 4" xfId="1701"/>
    <cellStyle name="常规 2 2 2 2 2 2 40 5" xfId="1702"/>
    <cellStyle name="常规 2 2 2 2 2 2 40 6" xfId="1703"/>
    <cellStyle name="常规 2 2 2 2 2 2 40 7" xfId="1704"/>
    <cellStyle name="常规 2 2 2 2 2 2 41" xfId="1705"/>
    <cellStyle name="常规 2 2 2 2 2 2 42" xfId="1706"/>
    <cellStyle name="常规 2 2 2 2 2 2 43" xfId="1707"/>
    <cellStyle name="常规 2 2 2 2 2 2 44" xfId="1708"/>
    <cellStyle name="常规 2 2 2 2 2 2 45" xfId="1709"/>
    <cellStyle name="常规 2 2 2 2 2 2 45 2" xfId="1710"/>
    <cellStyle name="常规 2 2 2 2 2 2 46" xfId="1711"/>
    <cellStyle name="常规 2 2 2 2 2 2 47" xfId="1712"/>
    <cellStyle name="常规 2 2 2 2 2 2 48" xfId="1713"/>
    <cellStyle name="常规 2 2 2 2 2 2 49" xfId="1714"/>
    <cellStyle name="常规 2 2 2 2 2 2 5" xfId="1715"/>
    <cellStyle name="常规 2 2 2 2 2 2 5 2" xfId="1716"/>
    <cellStyle name="常规 2 2 2 2 2 2 5 2 2" xfId="1717"/>
    <cellStyle name="常规 2 2 2 2 2 2 50" xfId="1718"/>
    <cellStyle name="常规 2 2 2 2 2 2 51" xfId="1719"/>
    <cellStyle name="常规 2 2 2 2 2 2 52" xfId="1720"/>
    <cellStyle name="常规 2 2 2 2 2 2 53" xfId="1721"/>
    <cellStyle name="常规 2 2 2 2 2 2 54" xfId="1722"/>
    <cellStyle name="常规 2 2 2 2 2 2 55" xfId="1723"/>
    <cellStyle name="常规 2 2 2 2 2 2 56" xfId="1724"/>
    <cellStyle name="常规 2 2 2 2 2 2 57" xfId="1725"/>
    <cellStyle name="常规 2 2 2 2 2 2 58" xfId="1726"/>
    <cellStyle name="常规 2 2 2 2 2 2 59" xfId="1727"/>
    <cellStyle name="常规 2 2 2 2 2 2 6" xfId="1728"/>
    <cellStyle name="常规 2 2 2 2 2 2 60" xfId="1729"/>
    <cellStyle name="常规 2 2 2 2 2 2 61" xfId="1730"/>
    <cellStyle name="常规 2 2 2 2 2 2 62" xfId="1731"/>
    <cellStyle name="常规 2 2 2 2 2 2 63" xfId="1732"/>
    <cellStyle name="常规 2 2 2 2 2 2 64" xfId="1733"/>
    <cellStyle name="常规 2 2 2 2 2 2 64 2" xfId="1734"/>
    <cellStyle name="常规 2 2 2 2 2 2 64 2 2" xfId="1735"/>
    <cellStyle name="常规 2 2 2 2 2 2 64 2 3" xfId="1736"/>
    <cellStyle name="常规 2 2 2 2 2 2 64 2 4" xfId="1737"/>
    <cellStyle name="常规 2 2 2 2 2 2 64 2 5" xfId="1738"/>
    <cellStyle name="常规 2 2 2 2 2 2 64 3" xfId="1739"/>
    <cellStyle name="常规 2 2 2 2 2 2 64 4" xfId="1740"/>
    <cellStyle name="常规 2 2 2 2 2 2 64 5" xfId="1741"/>
    <cellStyle name="常规 2 2 2 2 2 2 65" xfId="1742"/>
    <cellStyle name="常规 2 2 2 2 2 2 66" xfId="1743"/>
    <cellStyle name="常规 2 2 2 2 2 2 67" xfId="1744"/>
    <cellStyle name="常规 2 2 2 2 2 2 68" xfId="1745"/>
    <cellStyle name="常规 2 2 2 2 2 2 69" xfId="1746"/>
    <cellStyle name="常规 2 2 2 2 2 2 7" xfId="1747"/>
    <cellStyle name="常规 2 2 2 2 2 2 70" xfId="1748"/>
    <cellStyle name="常规 2 2 2 2 2 2 71" xfId="1749"/>
    <cellStyle name="常规 2 2 2 2 2 2 72" xfId="1750"/>
    <cellStyle name="常规 2 2 2 2 2 2 73" xfId="1751"/>
    <cellStyle name="常规 2 2 2 2 2 2 74" xfId="1752"/>
    <cellStyle name="常规 2 2 2 2 2 2 75" xfId="1753"/>
    <cellStyle name="常规 2 2 2 2 2 2 75 2" xfId="1754"/>
    <cellStyle name="常规 2 2 2 2 2 2 75 3" xfId="1755"/>
    <cellStyle name="常规 2 2 2 2 2 2 76" xfId="1756"/>
    <cellStyle name="常规 2 2 2 2 2 2 77" xfId="1757"/>
    <cellStyle name="常规 2 2 2 2 2 2 8" xfId="1758"/>
    <cellStyle name="常规 2 2 2 2 2 2 8 2" xfId="1759"/>
    <cellStyle name="常规 2 2 2 2 2 2 8 2 2" xfId="1760"/>
    <cellStyle name="常规 2 2 2 2 2 2 8 2 2 2" xfId="1761"/>
    <cellStyle name="常规 2 2 2 2 2 2 8 2 2 2 2" xfId="1762"/>
    <cellStyle name="常规 2 2 2 2 2 2 8 2 2 2 3" xfId="1763"/>
    <cellStyle name="常规 2 2 2 2 2 2 8 2 2 2 4" xfId="1764"/>
    <cellStyle name="常规 2 2 2 2 2 2 8 2 2 2 5" xfId="1765"/>
    <cellStyle name="常规 2 2 2 2 2 2 8 2 2 3" xfId="1766"/>
    <cellStyle name="常规 2 2 2 2 2 2 8 2 2 4" xfId="1767"/>
    <cellStyle name="常规 2 2 2 2 2 2 8 2 2 5" xfId="1768"/>
    <cellStyle name="常规 2 2 2 2 2 2 8 2 3" xfId="1769"/>
    <cellStyle name="常规 2 2 2 2 2 2 8 2 4" xfId="1770"/>
    <cellStyle name="常规 2 2 2 2 2 2 8 2 5" xfId="1771"/>
    <cellStyle name="常规 2 2 2 2 2 2 8 2 6" xfId="1772"/>
    <cellStyle name="常规 2 2 2 2 2 2 8 2 7" xfId="1773"/>
    <cellStyle name="常规 2 2 2 2 2 2 8 2 8" xfId="1774"/>
    <cellStyle name="常规 2 2 2 2 2 2 8 2 9" xfId="1775"/>
    <cellStyle name="常规 2 2 2 2 2 2 8 3" xfId="1776"/>
    <cellStyle name="常规 2 2 2 2 2 2 8 3 2" xfId="1777"/>
    <cellStyle name="常规 2 2 2 2 2 2 8 3 2 2" xfId="1778"/>
    <cellStyle name="常规 2 2 2 2 2 2 8 3 2 3" xfId="1779"/>
    <cellStyle name="常规 2 2 2 2 2 2 8 3 2 4" xfId="1780"/>
    <cellStyle name="常规 2 2 2 2 2 2 8 3 2 5" xfId="1781"/>
    <cellStyle name="常规 2 2 2 2 2 2 8 3 3" xfId="1782"/>
    <cellStyle name="常规 2 2 2 2 2 2 8 3 4" xfId="1783"/>
    <cellStyle name="常规 2 2 2 2 2 2 8 3 5" xfId="1784"/>
    <cellStyle name="常规 2 2 2 2 2 2 8 4" xfId="1785"/>
    <cellStyle name="常规 2 2 2 2 2 2 8 5" xfId="1786"/>
    <cellStyle name="常规 2 2 2 2 2 2 8 6" xfId="1787"/>
    <cellStyle name="常规 2 2 2 2 2 2 8 7" xfId="1788"/>
    <cellStyle name="常规 2 2 2 2 2 2 8 8" xfId="1789"/>
    <cellStyle name="常规 2 2 2 2 2 2 8 9" xfId="1790"/>
    <cellStyle name="常规 2 2 2 2 2 2 9" xfId="1791"/>
    <cellStyle name="常规 2 2 2 2 2 20" xfId="1792"/>
    <cellStyle name="常规 2 2 2 2 2 21" xfId="1793"/>
    <cellStyle name="常规 2 2 2 2 2 22" xfId="1794"/>
    <cellStyle name="常规 2 2 2 2 2 23" xfId="1795"/>
    <cellStyle name="常规 2 2 2 2 2 24" xfId="1796"/>
    <cellStyle name="常规 2 2 2 2 2 25" xfId="1797"/>
    <cellStyle name="常规 2 2 2 2 2 26" xfId="1798"/>
    <cellStyle name="常规 2 2 2 2 2 27" xfId="1799"/>
    <cellStyle name="常规 2 2 2 2 2 28" xfId="1800"/>
    <cellStyle name="常规 2 2 2 2 2 29" xfId="1801"/>
    <cellStyle name="常规 2 2 2 2 2 3" xfId="1802"/>
    <cellStyle name="常规 2 2 2 2 2 3 2" xfId="1803"/>
    <cellStyle name="常规 2 2 2 2 2 3 2 2" xfId="1804"/>
    <cellStyle name="常规 2 2 2 2 2 3 2 2 2" xfId="1805"/>
    <cellStyle name="常规 2 2 2 2 2 3 2 2 2 2" xfId="1806"/>
    <cellStyle name="常规 2 2 2 2 2 3 2 2 2 2 2" xfId="1807"/>
    <cellStyle name="常规 2 2 2 2 2 3 2 2 2 2 2 2" xfId="1808"/>
    <cellStyle name="常规 2 2 2 2 2 3 2 2 2 3" xfId="1809"/>
    <cellStyle name="常规 2 2 2 2 2 3 2 2 2 4" xfId="1810"/>
    <cellStyle name="常规 2 2 2 2 2 3 2 2 3" xfId="1811"/>
    <cellStyle name="常规 2 2 2 2 2 3 2 2 3 2" xfId="1812"/>
    <cellStyle name="常规 2 2 2 2 2 3 2 2 3 2 2" xfId="1813"/>
    <cellStyle name="常规 2 2 2 2 2 3 2 2 4" xfId="1814"/>
    <cellStyle name="常规 2 2 2 2 2 3 2 3" xfId="1815"/>
    <cellStyle name="常规 2 2 2 2 2 3 2 3 2" xfId="1816"/>
    <cellStyle name="常规 2 2 2 2 2 3 2 3 2 2" xfId="1817"/>
    <cellStyle name="常规 2 2 2 2 2 3 2 4" xfId="1818"/>
    <cellStyle name="常规 2 2 2 2 2 3 2 5" xfId="1819"/>
    <cellStyle name="常规 2 2 2 2 2 3 3" xfId="1820"/>
    <cellStyle name="常规 2 2 2 2 2 3 3 2" xfId="1821"/>
    <cellStyle name="常规 2 2 2 2 2 3 3 2 2" xfId="1822"/>
    <cellStyle name="常规 2 2 2 2 2 3 3 2 2 2" xfId="1823"/>
    <cellStyle name="常规 2 2 2 2 2 3 3 3" xfId="1824"/>
    <cellStyle name="常规 2 2 2 2 2 3 3 4" xfId="1825"/>
    <cellStyle name="常规 2 2 2 2 2 3 4" xfId="1826"/>
    <cellStyle name="常规 2 2 2 2 2 3 4 2" xfId="1827"/>
    <cellStyle name="常规 2 2 2 2 2 3 4 2 2" xfId="1828"/>
    <cellStyle name="常规 2 2 2 2 2 3 5" xfId="1829"/>
    <cellStyle name="常规 2 2 2 2 2 30" xfId="1830"/>
    <cellStyle name="常规 2 2 2 2 2 31" xfId="1831"/>
    <cellStyle name="常规 2 2 2 2 2 32" xfId="1832"/>
    <cellStyle name="常规 2 2 2 2 2 33" xfId="1833"/>
    <cellStyle name="常规 2 2 2 2 2 34" xfId="1834"/>
    <cellStyle name="常规 2 2 2 2 2 35" xfId="1835"/>
    <cellStyle name="常规 2 2 2 2 2 36" xfId="1836"/>
    <cellStyle name="常规 2 2 2 2 2 37" xfId="1837"/>
    <cellStyle name="常规 2 2 2 2 2 38" xfId="1838"/>
    <cellStyle name="常规 2 2 2 2 2 39" xfId="1839"/>
    <cellStyle name="常规 2 2 2 2 2 4" xfId="1840"/>
    <cellStyle name="常规 2 2 2 2 2 4 2" xfId="1841"/>
    <cellStyle name="常规 2 2 2 2 2 4 2 2" xfId="1842"/>
    <cellStyle name="常规 2 2 2 2 2 4 2 2 2" xfId="1843"/>
    <cellStyle name="常规 2 2 2 2 2 4 2 2 2 2" xfId="1844"/>
    <cellStyle name="常规 2 2 2 2 2 4 2 3" xfId="1845"/>
    <cellStyle name="常规 2 2 2 2 2 4 2 4" xfId="1846"/>
    <cellStyle name="常规 2 2 2 2 2 4 3" xfId="1847"/>
    <cellStyle name="常规 2 2 2 2 2 4 3 2" xfId="1848"/>
    <cellStyle name="常规 2 2 2 2 2 4 3 2 2" xfId="1849"/>
    <cellStyle name="常规 2 2 2 2 2 4 4" xfId="1850"/>
    <cellStyle name="常规 2 2 2 2 2 40" xfId="1851"/>
    <cellStyle name="常规 2 2 2 2 2 41" xfId="1852"/>
    <cellStyle name="常规 2 2 2 2 2 41 2" xfId="1853"/>
    <cellStyle name="常规 2 2 2 2 2 41 2 2" xfId="1854"/>
    <cellStyle name="常规 2 2 2 2 2 41 2 2 2" xfId="1855"/>
    <cellStyle name="常规 2 2 2 2 2 41 2 3" xfId="1856"/>
    <cellStyle name="常规 2 2 2 2 2 41 2 4" xfId="1857"/>
    <cellStyle name="常规 2 2 2 2 2 41 2 5" xfId="1858"/>
    <cellStyle name="常规 2 2 2 2 2 41 2 6" xfId="1859"/>
    <cellStyle name="常规 2 2 2 2 2 41 2 7" xfId="1860"/>
    <cellStyle name="常规 2 2 2 2 2 41 3" xfId="1861"/>
    <cellStyle name="常规 2 2 2 2 2 41 3 2" xfId="1862"/>
    <cellStyle name="常规 2 2 2 2 2 41 4" xfId="1863"/>
    <cellStyle name="常规 2 2 2 2 2 41 5" xfId="1864"/>
    <cellStyle name="常规 2 2 2 2 2 41 6" xfId="1865"/>
    <cellStyle name="常规 2 2 2 2 2 41 7" xfId="1866"/>
    <cellStyle name="常规 2 2 2 2 2 42" xfId="1867"/>
    <cellStyle name="常规 2 2 2 2 2 43" xfId="1868"/>
    <cellStyle name="常规 2 2 2 2 2 44" xfId="1869"/>
    <cellStyle name="常规 2 2 2 2 2 45" xfId="1870"/>
    <cellStyle name="常规 2 2 2 2 2 46" xfId="1871"/>
    <cellStyle name="常规 2 2 2 2 2 46 2" xfId="1872"/>
    <cellStyle name="常规 2 2 2 2 2 47" xfId="1873"/>
    <cellStyle name="常规 2 2 2 2 2 48" xfId="1874"/>
    <cellStyle name="常规 2 2 2 2 2 49" xfId="1875"/>
    <cellStyle name="常规 2 2 2 2 2 5" xfId="1876"/>
    <cellStyle name="常规 2 2 2 2 2 5 2" xfId="1877"/>
    <cellStyle name="常规 2 2 2 2 2 5 2 2" xfId="1878"/>
    <cellStyle name="常规 2 2 2 2 2 50" xfId="1879"/>
    <cellStyle name="常规 2 2 2 2 2 51" xfId="1880"/>
    <cellStyle name="常规 2 2 2 2 2 52" xfId="1881"/>
    <cellStyle name="常规 2 2 2 2 2 53" xfId="1882"/>
    <cellStyle name="常规 2 2 2 2 2 54" xfId="1883"/>
    <cellStyle name="常规 2 2 2 2 2 55" xfId="1884"/>
    <cellStyle name="常规 2 2 2 2 2 56" xfId="1885"/>
    <cellStyle name="常规 2 2 2 2 2 57" xfId="1886"/>
    <cellStyle name="常规 2 2 2 2 2 58" xfId="1887"/>
    <cellStyle name="常规 2 2 2 2 2 59" xfId="1888"/>
    <cellStyle name="常规 2 2 2 2 2 6" xfId="1889"/>
    <cellStyle name="常规 2 2 2 2 2 60" xfId="1890"/>
    <cellStyle name="常规 2 2 2 2 2 61" xfId="1891"/>
    <cellStyle name="常规 2 2 2 2 2 62" xfId="1892"/>
    <cellStyle name="常规 2 2 2 2 2 63" xfId="1893"/>
    <cellStyle name="常规 2 2 2 2 2 64" xfId="1894"/>
    <cellStyle name="常规 2 2 2 2 2 65" xfId="1895"/>
    <cellStyle name="常规 2 2 2 2 2 65 2" xfId="1896"/>
    <cellStyle name="常规 2 2 2 2 2 65 2 2" xfId="1897"/>
    <cellStyle name="常规 2 2 2 2 2 65 2 3" xfId="1898"/>
    <cellStyle name="常规 2 2 2 2 2 65 2 4" xfId="1899"/>
    <cellStyle name="常规 2 2 2 2 2 65 2 5" xfId="1900"/>
    <cellStyle name="常规 2 2 2 2 2 65 3" xfId="1901"/>
    <cellStyle name="常规 2 2 2 2 2 65 4" xfId="1902"/>
    <cellStyle name="常规 2 2 2 2 2 65 5" xfId="1903"/>
    <cellStyle name="常规 2 2 2 2 2 66" xfId="1904"/>
    <cellStyle name="常规 2 2 2 2 2 67" xfId="1905"/>
    <cellStyle name="常规 2 2 2 2 2 68" xfId="1906"/>
    <cellStyle name="常规 2 2 2 2 2 69" xfId="1907"/>
    <cellStyle name="常规 2 2 2 2 2 7" xfId="1908"/>
    <cellStyle name="常规 2 2 2 2 2 70" xfId="1909"/>
    <cellStyle name="常规 2 2 2 2 2 71" xfId="1910"/>
    <cellStyle name="常规 2 2 2 2 2 72" xfId="1911"/>
    <cellStyle name="常规 2 2 2 2 2 73" xfId="1912"/>
    <cellStyle name="常规 2 2 2 2 2 74" xfId="1913"/>
    <cellStyle name="常规 2 2 2 2 2 75" xfId="1914"/>
    <cellStyle name="常规 2 2 2 2 2 76" xfId="1915"/>
    <cellStyle name="常规 2 2 2 2 2 76 2" xfId="1916"/>
    <cellStyle name="常规 2 2 2 2 2 76 3" xfId="1917"/>
    <cellStyle name="常规 2 2 2 2 2 77" xfId="1918"/>
    <cellStyle name="常规 2 2 2 2 2 78" xfId="1919"/>
    <cellStyle name="常规 2 2 2 2 2 8" xfId="1920"/>
    <cellStyle name="常规 2 2 2 2 2 9" xfId="1921"/>
    <cellStyle name="常规 2 2 2 2 2 9 2" xfId="1922"/>
    <cellStyle name="常规 2 2 2 2 2 9 2 2" xfId="1923"/>
    <cellStyle name="常规 2 2 2 2 2 9 2 2 2" xfId="1924"/>
    <cellStyle name="常规 2 2 2 2 2 9 2 2 2 2" xfId="1925"/>
    <cellStyle name="常规 2 2 2 2 2 9 2 2 2 3" xfId="1926"/>
    <cellStyle name="常规 2 2 2 2 2 9 2 2 2 4" xfId="1927"/>
    <cellStyle name="常规 2 2 2 2 2 9 2 2 2 5" xfId="1928"/>
    <cellStyle name="常规 2 2 2 2 2 9 2 2 3" xfId="1929"/>
    <cellStyle name="常规 2 2 2 2 2 9 2 2 4" xfId="1930"/>
    <cellStyle name="常规 2 2 2 2 2 9 2 2 5" xfId="1931"/>
    <cellStyle name="常规 2 2 2 2 2 9 2 3" xfId="1932"/>
    <cellStyle name="常规 2 2 2 2 2 9 2 4" xfId="1933"/>
    <cellStyle name="常规 2 2 2 2 2 9 2 5" xfId="1934"/>
    <cellStyle name="常规 2 2 2 2 2 9 2 6" xfId="1935"/>
    <cellStyle name="常规 2 2 2 2 2 9 2 7" xfId="1936"/>
    <cellStyle name="常规 2 2 2 2 2 9 2 8" xfId="1937"/>
    <cellStyle name="常规 2 2 2 2 2 9 2 9" xfId="1938"/>
    <cellStyle name="常规 2 2 2 2 2 9 3" xfId="1939"/>
    <cellStyle name="常规 2 2 2 2 2 9 3 2" xfId="1940"/>
    <cellStyle name="常规 2 2 2 2 2 9 3 2 2" xfId="1941"/>
    <cellStyle name="常规 2 2 2 2 2 9 3 2 3" xfId="1942"/>
    <cellStyle name="常规 2 2 2 2 2 9 3 2 4" xfId="1943"/>
    <cellStyle name="常规 2 2 2 2 2 9 3 2 5" xfId="1944"/>
    <cellStyle name="常规 2 2 2 2 2 9 3 3" xfId="1945"/>
    <cellStyle name="常规 2 2 2 2 2 9 3 4" xfId="1946"/>
    <cellStyle name="常规 2 2 2 2 2 9 3 5" xfId="1947"/>
    <cellStyle name="常规 2 2 2 2 2 9 4" xfId="1948"/>
    <cellStyle name="常规 2 2 2 2 2 9 5" xfId="1949"/>
    <cellStyle name="常规 2 2 2 2 2 9 6" xfId="1950"/>
    <cellStyle name="常规 2 2 2 2 2 9 7" xfId="1951"/>
    <cellStyle name="常规 2 2 2 2 2 9 8" xfId="1952"/>
    <cellStyle name="常规 2 2 2 2 2 9 9" xfId="1953"/>
    <cellStyle name="常规 2 2 2 2 20" xfId="1954"/>
    <cellStyle name="常规 2 2 2 2 21" xfId="1955"/>
    <cellStyle name="常规 2 2 2 2 22" xfId="1956"/>
    <cellStyle name="常规 2 2 2 2 23" xfId="1957"/>
    <cellStyle name="常规 2 2 2 2 24" xfId="1958"/>
    <cellStyle name="常规 2 2 2 2 25" xfId="1959"/>
    <cellStyle name="常规 2 2 2 2 26" xfId="1960"/>
    <cellStyle name="常规 2 2 2 2 27" xfId="1961"/>
    <cellStyle name="常规 2 2 2 2 28" xfId="1962"/>
    <cellStyle name="常规 2 2 2 2 29" xfId="1963"/>
    <cellStyle name="常规 2 2 2 2 3" xfId="1964"/>
    <cellStyle name="常规 2 2 2 2 3 2" xfId="1965"/>
    <cellStyle name="常规 2 2 2 2 3 2 2" xfId="1966"/>
    <cellStyle name="常规 2 2 2 2 3 2 2 2" xfId="1967"/>
    <cellStyle name="常规 2 2 2 2 3 2 2 2 2" xfId="1968"/>
    <cellStyle name="常规 2 2 2 2 3 2 2 2 2 2" xfId="1969"/>
    <cellStyle name="常规 2 2 2 2 3 2 2 2 2 2 2" xfId="1970"/>
    <cellStyle name="常规 2 2 2 2 3 2 2 2 2 2 2 2" xfId="1971"/>
    <cellStyle name="常规 2 2 2 2 3 2 2 2 2 3" xfId="1972"/>
    <cellStyle name="常规 2 2 2 2 3 2 2 2 2 4" xfId="1973"/>
    <cellStyle name="常规 2 2 2 2 3 2 2 2 3" xfId="1974"/>
    <cellStyle name="常规 2 2 2 2 3 2 2 2 3 2" xfId="1975"/>
    <cellStyle name="常规 2 2 2 2 3 2 2 2 3 2 2" xfId="1976"/>
    <cellStyle name="常规 2 2 2 2 3 2 2 2 4" xfId="1977"/>
    <cellStyle name="常规 2 2 2 2 3 2 2 3" xfId="1978"/>
    <cellStyle name="常规 2 2 2 2 3 2 2 3 2" xfId="1979"/>
    <cellStyle name="常规 2 2 2 2 3 2 2 3 2 2" xfId="1980"/>
    <cellStyle name="常规 2 2 2 2 3 2 2 4" xfId="1981"/>
    <cellStyle name="常规 2 2 2 2 3 2 2 5" xfId="1982"/>
    <cellStyle name="常规 2 2 2 2 3 2 3" xfId="1983"/>
    <cellStyle name="常规 2 2 2 2 3 2 3 2" xfId="1984"/>
    <cellStyle name="常规 2 2 2 2 3 2 3 2 2" xfId="1985"/>
    <cellStyle name="常规 2 2 2 2 3 2 3 2 2 2" xfId="1986"/>
    <cellStyle name="常规 2 2 2 2 3 2 3 3" xfId="1987"/>
    <cellStyle name="常规 2 2 2 2 3 2 3 4" xfId="1988"/>
    <cellStyle name="常规 2 2 2 2 3 2 4" xfId="1989"/>
    <cellStyle name="常规 2 2 2 2 3 2 4 2" xfId="1990"/>
    <cellStyle name="常规 2 2 2 2 3 2 4 2 2" xfId="1991"/>
    <cellStyle name="常规 2 2 2 2 3 2 5" xfId="1992"/>
    <cellStyle name="常规 2 2 2 2 3 3" xfId="1993"/>
    <cellStyle name="常规 2 2 2 2 3 3 2" xfId="1994"/>
    <cellStyle name="常规 2 2 2 2 3 3 2 2" xfId="1995"/>
    <cellStyle name="常规 2 2 2 2 3 3 2 2 2" xfId="1996"/>
    <cellStyle name="常规 2 2 2 2 3 3 2 2 2 2" xfId="1997"/>
    <cellStyle name="常规 2 2 2 2 3 3 2 3" xfId="1998"/>
    <cellStyle name="常规 2 2 2 2 3 3 2 4" xfId="1999"/>
    <cellStyle name="常规 2 2 2 2 3 3 3" xfId="2000"/>
    <cellStyle name="常规 2 2 2 2 3 3 3 2" xfId="2001"/>
    <cellStyle name="常规 2 2 2 2 3 3 3 2 2" xfId="2002"/>
    <cellStyle name="常规 2 2 2 2 3 3 4" xfId="2003"/>
    <cellStyle name="常规 2 2 2 2 3 4" xfId="2004"/>
    <cellStyle name="常规 2 2 2 2 3 4 2" xfId="2005"/>
    <cellStyle name="常规 2 2 2 2 3 4 2 2" xfId="2006"/>
    <cellStyle name="常规 2 2 2 2 3 5" xfId="2007"/>
    <cellStyle name="常规 2 2 2 2 3 6" xfId="2008"/>
    <cellStyle name="常规 2 2 2 2 30" xfId="2009"/>
    <cellStyle name="常规 2 2 2 2 31" xfId="2010"/>
    <cellStyle name="常规 2 2 2 2 32" xfId="2011"/>
    <cellStyle name="常规 2 2 2 2 33" xfId="2012"/>
    <cellStyle name="常规 2 2 2 2 34" xfId="2013"/>
    <cellStyle name="常规 2 2 2 2 35" xfId="2014"/>
    <cellStyle name="常规 2 2 2 2 36" xfId="2015"/>
    <cellStyle name="常规 2 2 2 2 37" xfId="2016"/>
    <cellStyle name="常规 2 2 2 2 38" xfId="2017"/>
    <cellStyle name="常规 2 2 2 2 39" xfId="2018"/>
    <cellStyle name="常规 2 2 2 2 4" xfId="2019"/>
    <cellStyle name="常规 2 2 2 2 4 2" xfId="2020"/>
    <cellStyle name="常规 2 2 2 2 4 2 2" xfId="2021"/>
    <cellStyle name="常规 2 2 2 2 4 2 2 2" xfId="2022"/>
    <cellStyle name="常规 2 2 2 2 4 2 2 2 2" xfId="2023"/>
    <cellStyle name="常规 2 2 2 2 4 2 2 2 2 2" xfId="2024"/>
    <cellStyle name="常规 2 2 2 2 4 2 2 3" xfId="2025"/>
    <cellStyle name="常规 2 2 2 2 4 2 2 4" xfId="2026"/>
    <cellStyle name="常规 2 2 2 2 4 2 3" xfId="2027"/>
    <cellStyle name="常规 2 2 2 2 4 2 3 2" xfId="2028"/>
    <cellStyle name="常规 2 2 2 2 4 2 3 2 2" xfId="2029"/>
    <cellStyle name="常规 2 2 2 2 4 2 4" xfId="2030"/>
    <cellStyle name="常规 2 2 2 2 4 3" xfId="2031"/>
    <cellStyle name="常规 2 2 2 2 4 3 2" xfId="2032"/>
    <cellStyle name="常规 2 2 2 2 4 3 2 2" xfId="2033"/>
    <cellStyle name="常规 2 2 2 2 4 4" xfId="2034"/>
    <cellStyle name="常规 2 2 2 2 4 5" xfId="2035"/>
    <cellStyle name="常规 2 2 2 2 40" xfId="2036"/>
    <cellStyle name="常规 2 2 2 2 41" xfId="2037"/>
    <cellStyle name="常规 2 2 2 2 41 2" xfId="2038"/>
    <cellStyle name="常规 2 2 2 2 41 2 2" xfId="2039"/>
    <cellStyle name="常规 2 2 2 2 41 2 2 2" xfId="2040"/>
    <cellStyle name="常规 2 2 2 2 41 2 3" xfId="2041"/>
    <cellStyle name="常规 2 2 2 2 41 2 4" xfId="2042"/>
    <cellStyle name="常规 2 2 2 2 41 2 5" xfId="2043"/>
    <cellStyle name="常规 2 2 2 2 41 2 6" xfId="2044"/>
    <cellStyle name="常规 2 2 2 2 41 2 7" xfId="2045"/>
    <cellStyle name="常规 2 2 2 2 41 3" xfId="2046"/>
    <cellStyle name="常规 2 2 2 2 41 3 2" xfId="2047"/>
    <cellStyle name="常规 2 2 2 2 41 4" xfId="2048"/>
    <cellStyle name="常规 2 2 2 2 41 5" xfId="2049"/>
    <cellStyle name="常规 2 2 2 2 41 6" xfId="2050"/>
    <cellStyle name="常规 2 2 2 2 41 7" xfId="2051"/>
    <cellStyle name="常规 2 2 2 2 42" xfId="2052"/>
    <cellStyle name="常规 2 2 2 2 43" xfId="2053"/>
    <cellStyle name="常规 2 2 2 2 44" xfId="2054"/>
    <cellStyle name="常规 2 2 2 2 45" xfId="2055"/>
    <cellStyle name="常规 2 2 2 2 46" xfId="2056"/>
    <cellStyle name="常规 2 2 2 2 46 2" xfId="2057"/>
    <cellStyle name="常规 2 2 2 2 47" xfId="2058"/>
    <cellStyle name="常规 2 2 2 2 48" xfId="2059"/>
    <cellStyle name="常规 2 2 2 2 49" xfId="2060"/>
    <cellStyle name="常规 2 2 2 2 5" xfId="2061"/>
    <cellStyle name="常规 2 2 2 2 5 2" xfId="2062"/>
    <cellStyle name="常规 2 2 2 2 5 2 2" xfId="2063"/>
    <cellStyle name="常规 2 2 2 2 5 2 2 2" xfId="2064"/>
    <cellStyle name="常规 2 2 2 2 5 3" xfId="2065"/>
    <cellStyle name="常规 2 2 2 2 5 4" xfId="2066"/>
    <cellStyle name="常规 2 2 2 2 50" xfId="2067"/>
    <cellStyle name="常规 2 2 2 2 51" xfId="2068"/>
    <cellStyle name="常规 2 2 2 2 52" xfId="2069"/>
    <cellStyle name="常规 2 2 2 2 53" xfId="2070"/>
    <cellStyle name="常规 2 2 2 2 54" xfId="2071"/>
    <cellStyle name="常规 2 2 2 2 55" xfId="2072"/>
    <cellStyle name="常规 2 2 2 2 56" xfId="2073"/>
    <cellStyle name="常规 2 2 2 2 57" xfId="2074"/>
    <cellStyle name="常规 2 2 2 2 58" xfId="2075"/>
    <cellStyle name="常规 2 2 2 2 59" xfId="2076"/>
    <cellStyle name="常规 2 2 2 2 6" xfId="2077"/>
    <cellStyle name="常规 2 2 2 2 6 2" xfId="2078"/>
    <cellStyle name="常规 2 2 2 2 6 2 2" xfId="2079"/>
    <cellStyle name="常规 2 2 2 2 60" xfId="2080"/>
    <cellStyle name="常规 2 2 2 2 61" xfId="2081"/>
    <cellStyle name="常规 2 2 2 2 62" xfId="2082"/>
    <cellStyle name="常规 2 2 2 2 63" xfId="2083"/>
    <cellStyle name="常规 2 2 2 2 64" xfId="2084"/>
    <cellStyle name="常规 2 2 2 2 65" xfId="2085"/>
    <cellStyle name="常规 2 2 2 2 65 2" xfId="2086"/>
    <cellStyle name="常规 2 2 2 2 65 2 2" xfId="2087"/>
    <cellStyle name="常规 2 2 2 2 65 2 3" xfId="2088"/>
    <cellStyle name="常规 2 2 2 2 65 2 4" xfId="2089"/>
    <cellStyle name="常规 2 2 2 2 65 2 5" xfId="2090"/>
    <cellStyle name="常规 2 2 2 2 65 3" xfId="2091"/>
    <cellStyle name="常规 2 2 2 2 65 4" xfId="2092"/>
    <cellStyle name="常规 2 2 2 2 65 5" xfId="2093"/>
    <cellStyle name="常规 2 2 2 2 66" xfId="2094"/>
    <cellStyle name="常规 2 2 2 2 67" xfId="2095"/>
    <cellStyle name="常规 2 2 2 2 68" xfId="2096"/>
    <cellStyle name="常规 2 2 2 2 69" xfId="2097"/>
    <cellStyle name="常规 2 2 2 2 7" xfId="2098"/>
    <cellStyle name="常规 2 2 2 2 70" xfId="2099"/>
    <cellStyle name="常规 2 2 2 2 71" xfId="2100"/>
    <cellStyle name="常规 2 2 2 2 72" xfId="2101"/>
    <cellStyle name="常规 2 2 2 2 73" xfId="2102"/>
    <cellStyle name="常规 2 2 2 2 74" xfId="2103"/>
    <cellStyle name="常规 2 2 2 2 75" xfId="2104"/>
    <cellStyle name="常规 2 2 2 2 76" xfId="2105"/>
    <cellStyle name="常规 2 2 2 2 76 2" xfId="2106"/>
    <cellStyle name="常规 2 2 2 2 76 3" xfId="2107"/>
    <cellStyle name="常规 2 2 2 2 77" xfId="2108"/>
    <cellStyle name="常规 2 2 2 2 78" xfId="2109"/>
    <cellStyle name="常规 2 2 2 2 8" xfId="2110"/>
    <cellStyle name="常规 2 2 2 2 9" xfId="2111"/>
    <cellStyle name="常规 2 2 2 2 9 2" xfId="2112"/>
    <cellStyle name="常规 2 2 2 2 9 2 2" xfId="2113"/>
    <cellStyle name="常规 2 2 2 2 9 2 2 2" xfId="2114"/>
    <cellStyle name="常规 2 2 2 2 9 2 2 2 2" xfId="2115"/>
    <cellStyle name="常规 2 2 2 2 9 2 2 2 3" xfId="2116"/>
    <cellStyle name="常规 2 2 2 2 9 2 2 2 4" xfId="2117"/>
    <cellStyle name="常规 2 2 2 2 9 2 2 2 5" xfId="2118"/>
    <cellStyle name="常规 2 2 2 2 9 2 2 3" xfId="2119"/>
    <cellStyle name="常规 2 2 2 2 9 2 2 4" xfId="2120"/>
    <cellStyle name="常规 2 2 2 2 9 2 2 5" xfId="2121"/>
    <cellStyle name="常规 2 2 2 2 9 2 3" xfId="2122"/>
    <cellStyle name="常规 2 2 2 2 9 2 4" xfId="2123"/>
    <cellStyle name="常规 2 2 2 2 9 2 5" xfId="2124"/>
    <cellStyle name="常规 2 2 2 2 9 2 6" xfId="2125"/>
    <cellStyle name="常规 2 2 2 2 9 2 7" xfId="2126"/>
    <cellStyle name="常规 2 2 2 2 9 2 8" xfId="2127"/>
    <cellStyle name="常规 2 2 2 2 9 2 9" xfId="2128"/>
    <cellStyle name="常规 2 2 2 2 9 3" xfId="2129"/>
    <cellStyle name="常规 2 2 2 2 9 3 2" xfId="2130"/>
    <cellStyle name="常规 2 2 2 2 9 3 2 2" xfId="2131"/>
    <cellStyle name="常规 2 2 2 2 9 3 2 3" xfId="2132"/>
    <cellStyle name="常规 2 2 2 2 9 3 2 4" xfId="2133"/>
    <cellStyle name="常规 2 2 2 2 9 3 2 5" xfId="2134"/>
    <cellStyle name="常规 2 2 2 2 9 3 3" xfId="2135"/>
    <cellStyle name="常规 2 2 2 2 9 3 4" xfId="2136"/>
    <cellStyle name="常规 2 2 2 2 9 3 5" xfId="2137"/>
    <cellStyle name="常规 2 2 2 2 9 4" xfId="2138"/>
    <cellStyle name="常规 2 2 2 2 9 5" xfId="2139"/>
    <cellStyle name="常规 2 2 2 2 9 6" xfId="2140"/>
    <cellStyle name="常规 2 2 2 2 9 7" xfId="2141"/>
    <cellStyle name="常规 2 2 2 2 9 8" xfId="2142"/>
    <cellStyle name="常规 2 2 2 2 9 9" xfId="2143"/>
    <cellStyle name="常规 2 2 2 20" xfId="2144"/>
    <cellStyle name="常规 2 2 2 21" xfId="2145"/>
    <cellStyle name="常规 2 2 2 22" xfId="2146"/>
    <cellStyle name="常规 2 2 2 23" xfId="2147"/>
    <cellStyle name="常规 2 2 2 24" xfId="2148"/>
    <cellStyle name="常规 2 2 2 25" xfId="2149"/>
    <cellStyle name="常规 2 2 2 26" xfId="2150"/>
    <cellStyle name="常规 2 2 2 27" xfId="2151"/>
    <cellStyle name="常规 2 2 2 28" xfId="2152"/>
    <cellStyle name="常规 2 2 2 29" xfId="2153"/>
    <cellStyle name="常规 2 2 2 3" xfId="2154"/>
    <cellStyle name="常规 2 2 2 3 2" xfId="2155"/>
    <cellStyle name="常规 2 2 2 3 2 2" xfId="2156"/>
    <cellStyle name="常规 2 2 2 3 2 2 2" xfId="2157"/>
    <cellStyle name="常规 2 2 2 3 2 2 2 2" xfId="2158"/>
    <cellStyle name="常规 2 2 2 3 2 2 2 2 2" xfId="2159"/>
    <cellStyle name="常规 2 2 2 3 2 2 2 2 2 2" xfId="2160"/>
    <cellStyle name="常规 2 2 2 3 2 2 2 2 2 2 2" xfId="2161"/>
    <cellStyle name="常规 2 2 2 3 2 2 2 2 2 2 2 2" xfId="2162"/>
    <cellStyle name="常规 2 2 2 3 2 2 2 2 2 3" xfId="2163"/>
    <cellStyle name="常规 2 2 2 3 2 2 2 2 2 4" xfId="2164"/>
    <cellStyle name="常规 2 2 2 3 2 2 2 2 3" xfId="2165"/>
    <cellStyle name="常规 2 2 2 3 2 2 2 2 3 2" xfId="2166"/>
    <cellStyle name="常规 2 2 2 3 2 2 2 2 3 2 2" xfId="2167"/>
    <cellStyle name="常规 2 2 2 3 2 2 2 2 4" xfId="2168"/>
    <cellStyle name="常规 2 2 2 3 2 2 2 3" xfId="2169"/>
    <cellStyle name="常规 2 2 2 3 2 2 2 3 2" xfId="2170"/>
    <cellStyle name="常规 2 2 2 3 2 2 2 3 2 2" xfId="2171"/>
    <cellStyle name="常规 2 2 2 3 2 2 2 4" xfId="2172"/>
    <cellStyle name="常规 2 2 2 3 2 2 2 5" xfId="2173"/>
    <cellStyle name="常规 2 2 2 3 2 2 3" xfId="2174"/>
    <cellStyle name="常规 2 2 2 3 2 2 3 2" xfId="2175"/>
    <cellStyle name="常规 2 2 2 3 2 2 3 2 2" xfId="2176"/>
    <cellStyle name="常规 2 2 2 3 2 2 3 2 2 2" xfId="2177"/>
    <cellStyle name="常规 2 2 2 3 2 2 3 3" xfId="2178"/>
    <cellStyle name="常规 2 2 2 3 2 2 3 4" xfId="2179"/>
    <cellStyle name="常规 2 2 2 3 2 2 4" xfId="2180"/>
    <cellStyle name="常规 2 2 2 3 2 2 4 2" xfId="2181"/>
    <cellStyle name="常规 2 2 2 3 2 2 4 2 2" xfId="2182"/>
    <cellStyle name="常规 2 2 2 3 2 2 5" xfId="2183"/>
    <cellStyle name="常规 2 2 2 3 2 3" xfId="2184"/>
    <cellStyle name="常规 2 2 2 3 2 3 2" xfId="2185"/>
    <cellStyle name="常规 2 2 2 3 2 3 2 2" xfId="2186"/>
    <cellStyle name="常规 2 2 2 3 2 3 2 2 2" xfId="2187"/>
    <cellStyle name="常规 2 2 2 3 2 3 2 2 2 2" xfId="2188"/>
    <cellStyle name="常规 2 2 2 3 2 3 2 3" xfId="2189"/>
    <cellStyle name="常规 2 2 2 3 2 3 2 4" xfId="2190"/>
    <cellStyle name="常规 2 2 2 3 2 3 3" xfId="2191"/>
    <cellStyle name="常规 2 2 2 3 2 3 3 2" xfId="2192"/>
    <cellStyle name="常规 2 2 2 3 2 3 3 2 2" xfId="2193"/>
    <cellStyle name="常规 2 2 2 3 2 3 4" xfId="2194"/>
    <cellStyle name="常规 2 2 2 3 2 4" xfId="2195"/>
    <cellStyle name="常规 2 2 2 3 2 4 2" xfId="2196"/>
    <cellStyle name="常规 2 2 2 3 2 4 2 2" xfId="2197"/>
    <cellStyle name="常规 2 2 2 3 2 5" xfId="2198"/>
    <cellStyle name="常规 2 2 2 3 2 6" xfId="2199"/>
    <cellStyle name="常规 2 2 2 3 3" xfId="2200"/>
    <cellStyle name="常规 2 2 2 3 3 2" xfId="2201"/>
    <cellStyle name="常规 2 2 2 3 3 2 2" xfId="2202"/>
    <cellStyle name="常规 2 2 2 3 3 2 2 2" xfId="2203"/>
    <cellStyle name="常规 2 2 2 3 3 2 2 2 2" xfId="2204"/>
    <cellStyle name="常规 2 2 2 3 3 2 2 2 2 2" xfId="2205"/>
    <cellStyle name="常规 2 2 2 3 3 2 2 3" xfId="2206"/>
    <cellStyle name="常规 2 2 2 3 3 2 2 4" xfId="2207"/>
    <cellStyle name="常规 2 2 2 3 3 2 3" xfId="2208"/>
    <cellStyle name="常规 2 2 2 3 3 2 3 2" xfId="2209"/>
    <cellStyle name="常规 2 2 2 3 3 2 3 2 2" xfId="2210"/>
    <cellStyle name="常规 2 2 2 3 3 2 4" xfId="2211"/>
    <cellStyle name="常规 2 2 2 3 3 3" xfId="2212"/>
    <cellStyle name="常规 2 2 2 3 3 3 2" xfId="2213"/>
    <cellStyle name="常规 2 2 2 3 3 3 2 2" xfId="2214"/>
    <cellStyle name="常规 2 2 2 3 3 4" xfId="2215"/>
    <cellStyle name="常规 2 2 2 3 3 5" xfId="2216"/>
    <cellStyle name="常规 2 2 2 3 4" xfId="2217"/>
    <cellStyle name="常规 2 2 2 3 4 2" xfId="2218"/>
    <cellStyle name="常规 2 2 2 3 4 2 2" xfId="2219"/>
    <cellStyle name="常规 2 2 2 3 4 2 2 2" xfId="2220"/>
    <cellStyle name="常规 2 2 2 3 4 3" xfId="2221"/>
    <cellStyle name="常规 2 2 2 3 4 4" xfId="2222"/>
    <cellStyle name="常规 2 2 2 3 5" xfId="2223"/>
    <cellStyle name="常规 2 2 2 3 5 2" xfId="2224"/>
    <cellStyle name="常规 2 2 2 3 5 2 2" xfId="2225"/>
    <cellStyle name="常规 2 2 2 3 6" xfId="2226"/>
    <cellStyle name="常规 2 2 2 30" xfId="2227"/>
    <cellStyle name="常规 2 2 2 31" xfId="2228"/>
    <cellStyle name="常规 2 2 2 32" xfId="2229"/>
    <cellStyle name="常规 2 2 2 33" xfId="2230"/>
    <cellStyle name="常规 2 2 2 34" xfId="2231"/>
    <cellStyle name="常规 2 2 2 35" xfId="2232"/>
    <cellStyle name="常规 2 2 2 36" xfId="2233"/>
    <cellStyle name="常规 2 2 2 37" xfId="2234"/>
    <cellStyle name="常规 2 2 2 38" xfId="2235"/>
    <cellStyle name="常规 2 2 2 39" xfId="2236"/>
    <cellStyle name="常规 2 2 2 4" xfId="2237"/>
    <cellStyle name="常规 2 2 2 4 2" xfId="2238"/>
    <cellStyle name="常规 2 2 2 4 2 2" xfId="2239"/>
    <cellStyle name="常规 2 2 2 4 2 2 2" xfId="2240"/>
    <cellStyle name="常规 2 2 2 4 2 2 2 2" xfId="2241"/>
    <cellStyle name="常规 2 2 2 4 2 2 2 2 2" xfId="2242"/>
    <cellStyle name="常规 2 2 2 4 2 2 2 2 2 2" xfId="2243"/>
    <cellStyle name="常规 2 2 2 4 2 2 2 3" xfId="2244"/>
    <cellStyle name="常规 2 2 2 4 2 2 2 4" xfId="2245"/>
    <cellStyle name="常规 2 2 2 4 2 2 3" xfId="2246"/>
    <cellStyle name="常规 2 2 2 4 2 2 3 2" xfId="2247"/>
    <cellStyle name="常规 2 2 2 4 2 2 3 2 2" xfId="2248"/>
    <cellStyle name="常规 2 2 2 4 2 2 4" xfId="2249"/>
    <cellStyle name="常规 2 2 2 4 2 3" xfId="2250"/>
    <cellStyle name="常规 2 2 2 4 2 3 2" xfId="2251"/>
    <cellStyle name="常规 2 2 2 4 2 3 2 2" xfId="2252"/>
    <cellStyle name="常规 2 2 2 4 2 4" xfId="2253"/>
    <cellStyle name="常规 2 2 2 4 2 5" xfId="2254"/>
    <cellStyle name="常规 2 2 2 4 3" xfId="2255"/>
    <cellStyle name="常规 2 2 2 4 3 2" xfId="2256"/>
    <cellStyle name="常规 2 2 2 4 3 2 2" xfId="2257"/>
    <cellStyle name="常规 2 2 2 4 3 2 2 2" xfId="2258"/>
    <cellStyle name="常规 2 2 2 4 3 3" xfId="2259"/>
    <cellStyle name="常规 2 2 2 4 3 4" xfId="2260"/>
    <cellStyle name="常规 2 2 2 4 4" xfId="2261"/>
    <cellStyle name="常规 2 2 2 4 4 2" xfId="2262"/>
    <cellStyle name="常规 2 2 2 4 4 2 2" xfId="2263"/>
    <cellStyle name="常规 2 2 2 4 5" xfId="2264"/>
    <cellStyle name="常规 2 2 2 40" xfId="2265"/>
    <cellStyle name="常规 2 2 2 41" xfId="2266"/>
    <cellStyle name="常规 2 2 2 42" xfId="2267"/>
    <cellStyle name="常规 2 2 2 42 2" xfId="2268"/>
    <cellStyle name="常规 2 2 2 42 2 2" xfId="2269"/>
    <cellStyle name="常规 2 2 2 42 2 2 2" xfId="2270"/>
    <cellStyle name="常规 2 2 2 42 2 3" xfId="2271"/>
    <cellStyle name="常规 2 2 2 42 2 4" xfId="2272"/>
    <cellStyle name="常规 2 2 2 42 2 5" xfId="2273"/>
    <cellStyle name="常规 2 2 2 42 2 6" xfId="2274"/>
    <cellStyle name="常规 2 2 2 42 2 7" xfId="2275"/>
    <cellStyle name="常规 2 2 2 42 3" xfId="2276"/>
    <cellStyle name="常规 2 2 2 42 3 2" xfId="2277"/>
    <cellStyle name="常规 2 2 2 42 4" xfId="2278"/>
    <cellStyle name="常规 2 2 2 42 5" xfId="2279"/>
    <cellStyle name="常规 2 2 2 42 6" xfId="2280"/>
    <cellStyle name="常规 2 2 2 42 7" xfId="2281"/>
    <cellStyle name="常规 2 2 2 43" xfId="2282"/>
    <cellStyle name="常规 2 2 2 44" xfId="2283"/>
    <cellStyle name="常规 2 2 2 45" xfId="2284"/>
    <cellStyle name="常规 2 2 2 46" xfId="2285"/>
    <cellStyle name="常规 2 2 2 47" xfId="2286"/>
    <cellStyle name="常规 2 2 2 47 2" xfId="2287"/>
    <cellStyle name="常规 2 2 2 48" xfId="2288"/>
    <cellStyle name="常规 2 2 2 49" xfId="2289"/>
    <cellStyle name="常规 2 2 2 5" xfId="2290"/>
    <cellStyle name="常规 2 2 2 5 2" xfId="2291"/>
    <cellStyle name="常规 2 2 2 5 2 2" xfId="2292"/>
    <cellStyle name="常规 2 2 2 5 2 2 2" xfId="2293"/>
    <cellStyle name="常规 2 2 2 5 2 2 2 2" xfId="2294"/>
    <cellStyle name="常规 2 2 2 5 2 3" xfId="2295"/>
    <cellStyle name="常规 2 2 2 5 2 4" xfId="2296"/>
    <cellStyle name="常规 2 2 2 5 3" xfId="2297"/>
    <cellStyle name="常规 2 2 2 5 3 2" xfId="2298"/>
    <cellStyle name="常规 2 2 2 5 3 2 2" xfId="2299"/>
    <cellStyle name="常规 2 2 2 5 4" xfId="2300"/>
    <cellStyle name="常规 2 2 2 50" xfId="2301"/>
    <cellStyle name="常规 2 2 2 51" xfId="2302"/>
    <cellStyle name="常规 2 2 2 52" xfId="2303"/>
    <cellStyle name="常规 2 2 2 53" xfId="2304"/>
    <cellStyle name="常规 2 2 2 54" xfId="2305"/>
    <cellStyle name="常规 2 2 2 55" xfId="2306"/>
    <cellStyle name="常规 2 2 2 56" xfId="2307"/>
    <cellStyle name="常规 2 2 2 57" xfId="2308"/>
    <cellStyle name="常规 2 2 2 58" xfId="2309"/>
    <cellStyle name="常规 2 2 2 59" xfId="2310"/>
    <cellStyle name="常规 2 2 2 6" xfId="2311"/>
    <cellStyle name="常规 2 2 2 6 2" xfId="2312"/>
    <cellStyle name="常规 2 2 2 6 2 2" xfId="2313"/>
    <cellStyle name="常规 2 2 2 60" xfId="2314"/>
    <cellStyle name="常规 2 2 2 61" xfId="2315"/>
    <cellStyle name="常规 2 2 2 62" xfId="2316"/>
    <cellStyle name="常规 2 2 2 63" xfId="2317"/>
    <cellStyle name="常规 2 2 2 64" xfId="2318"/>
    <cellStyle name="常规 2 2 2 65" xfId="2319"/>
    <cellStyle name="常规 2 2 2 66" xfId="2320"/>
    <cellStyle name="常规 2 2 2 66 2" xfId="2321"/>
    <cellStyle name="常规 2 2 2 66 2 2" xfId="2322"/>
    <cellStyle name="常规 2 2 2 66 2 3" xfId="2323"/>
    <cellStyle name="常规 2 2 2 66 2 4" xfId="2324"/>
    <cellStyle name="常规 2 2 2 66 2 5" xfId="2325"/>
    <cellStyle name="常规 2 2 2 66 3" xfId="2326"/>
    <cellStyle name="常规 2 2 2 66 4" xfId="2327"/>
    <cellStyle name="常规 2 2 2 66 5" xfId="2328"/>
    <cellStyle name="常规 2 2 2 67" xfId="2329"/>
    <cellStyle name="常规 2 2 2 68" xfId="2330"/>
    <cellStyle name="常规 2 2 2 69" xfId="2331"/>
    <cellStyle name="常规 2 2 2 7" xfId="2332"/>
    <cellStyle name="常规 2 2 2 70" xfId="2333"/>
    <cellStyle name="常规 2 2 2 71" xfId="2334"/>
    <cellStyle name="常规 2 2 2 72" xfId="2335"/>
    <cellStyle name="常规 2 2 2 73" xfId="2336"/>
    <cellStyle name="常规 2 2 2 74" xfId="2337"/>
    <cellStyle name="常规 2 2 2 75" xfId="2338"/>
    <cellStyle name="常规 2 2 2 76" xfId="2339"/>
    <cellStyle name="常规 2 2 2 77" xfId="2340"/>
    <cellStyle name="常规 2 2 2 77 2" xfId="2341"/>
    <cellStyle name="常规 2 2 2 77 3" xfId="2342"/>
    <cellStyle name="常规 2 2 2 78" xfId="2343"/>
    <cellStyle name="常规 2 2 2 79" xfId="2344"/>
    <cellStyle name="常规 2 2 2 8" xfId="2345"/>
    <cellStyle name="常规 2 2 2 9" xfId="2346"/>
    <cellStyle name="常规 2 2 20" xfId="2347"/>
    <cellStyle name="常规 2 2 21" xfId="2348"/>
    <cellStyle name="常规 2 2 22" xfId="2349"/>
    <cellStyle name="常规 2 2 23" xfId="2350"/>
    <cellStyle name="常规 2 2 24" xfId="2351"/>
    <cellStyle name="常规 2 2 25" xfId="2352"/>
    <cellStyle name="常规 2 2 26" xfId="2353"/>
    <cellStyle name="常规 2 2 27" xfId="2354"/>
    <cellStyle name="常规 2 2 28" xfId="2355"/>
    <cellStyle name="常规 2 2 29" xfId="2356"/>
    <cellStyle name="常规 2 2 3" xfId="2357"/>
    <cellStyle name="常规 2 2 3 2" xfId="2358"/>
    <cellStyle name="常规 2 2 3 2 2" xfId="2359"/>
    <cellStyle name="常规 2 2 3 2 2 2" xfId="2360"/>
    <cellStyle name="常规 2 2 3 2 2 2 2" xfId="2361"/>
    <cellStyle name="常规 2 2 3 2 2 2 2 2" xfId="2362"/>
    <cellStyle name="常规 2 2 3 2 2 2 2 2 2" xfId="2363"/>
    <cellStyle name="常规 2 2 3 2 2 2 2 2 2 2" xfId="2364"/>
    <cellStyle name="常规 2 2 3 2 2 2 2 2 2 2 2" xfId="2365"/>
    <cellStyle name="常规 2 2 3 2 2 2 2 2 2 2 2 2" xfId="2366"/>
    <cellStyle name="常规 2 2 3 2 2 2 2 2 2 3" xfId="2367"/>
    <cellStyle name="常规 2 2 3 2 2 2 2 2 2 4" xfId="2368"/>
    <cellStyle name="常规 2 2 3 2 2 2 2 2 3" xfId="2369"/>
    <cellStyle name="常规 2 2 3 2 2 2 2 2 3 2" xfId="2370"/>
    <cellStyle name="常规 2 2 3 2 2 2 2 2 3 2 2" xfId="2371"/>
    <cellStyle name="常规 2 2 3 2 2 2 2 2 4" xfId="2372"/>
    <cellStyle name="常规 2 2 3 2 2 2 2 3" xfId="2373"/>
    <cellStyle name="常规 2 2 3 2 2 2 2 3 2" xfId="2374"/>
    <cellStyle name="常规 2 2 3 2 2 2 2 3 2 2" xfId="2375"/>
    <cellStyle name="常规 2 2 3 2 2 2 2 4" xfId="2376"/>
    <cellStyle name="常规 2 2 3 2 2 2 2 5" xfId="2377"/>
    <cellStyle name="常规 2 2 3 2 2 2 3" xfId="2378"/>
    <cellStyle name="常规 2 2 3 2 2 2 3 2" xfId="2379"/>
    <cellStyle name="常规 2 2 3 2 2 2 3 2 2" xfId="2380"/>
    <cellStyle name="常规 2 2 3 2 2 2 3 2 2 2" xfId="2381"/>
    <cellStyle name="常规 2 2 3 2 2 2 3 3" xfId="2382"/>
    <cellStyle name="常规 2 2 3 2 2 2 3 4" xfId="2383"/>
    <cellStyle name="常规 2 2 3 2 2 2 4" xfId="2384"/>
    <cellStyle name="常规 2 2 3 2 2 2 4 2" xfId="2385"/>
    <cellStyle name="常规 2 2 3 2 2 2 4 2 2" xfId="2386"/>
    <cellStyle name="常规 2 2 3 2 2 2 5" xfId="2387"/>
    <cellStyle name="常规 2 2 3 2 2 3" xfId="2388"/>
    <cellStyle name="常规 2 2 3 2 2 3 2" xfId="2389"/>
    <cellStyle name="常规 2 2 3 2 2 3 2 2" xfId="2390"/>
    <cellStyle name="常规 2 2 3 2 2 3 2 2 2" xfId="2391"/>
    <cellStyle name="常规 2 2 3 2 2 3 2 2 2 2" xfId="2392"/>
    <cellStyle name="常规 2 2 3 2 2 3 2 3" xfId="2393"/>
    <cellStyle name="常规 2 2 3 2 2 3 2 4" xfId="2394"/>
    <cellStyle name="常规 2 2 3 2 2 3 3" xfId="2395"/>
    <cellStyle name="常规 2 2 3 2 2 3 3 2" xfId="2396"/>
    <cellStyle name="常规 2 2 3 2 2 3 3 2 2" xfId="2397"/>
    <cellStyle name="常规 2 2 3 2 2 3 4" xfId="2398"/>
    <cellStyle name="常规 2 2 3 2 2 4" xfId="2399"/>
    <cellStyle name="常规 2 2 3 2 2 4 2" xfId="2400"/>
    <cellStyle name="常规 2 2 3 2 2 4 2 2" xfId="2401"/>
    <cellStyle name="常规 2 2 3 2 2 5" xfId="2402"/>
    <cellStyle name="常规 2 2 3 2 2 6" xfId="2403"/>
    <cellStyle name="常规 2 2 3 2 3" xfId="2404"/>
    <cellStyle name="常规 2 2 3 2 3 2" xfId="2405"/>
    <cellStyle name="常规 2 2 3 2 3 2 2" xfId="2406"/>
    <cellStyle name="常规 2 2 3 2 3 2 2 2" xfId="2407"/>
    <cellStyle name="常规 2 2 3 2 3 2 2 2 2" xfId="2408"/>
    <cellStyle name="常规 2 2 3 2 3 2 2 2 2 2" xfId="2409"/>
    <cellStyle name="常规 2 2 3 2 3 2 2 3" xfId="2410"/>
    <cellStyle name="常规 2 2 3 2 3 2 2 4" xfId="2411"/>
    <cellStyle name="常规 2 2 3 2 3 2 3" xfId="2412"/>
    <cellStyle name="常规 2 2 3 2 3 2 3 2" xfId="2413"/>
    <cellStyle name="常规 2 2 3 2 3 2 3 2 2" xfId="2414"/>
    <cellStyle name="常规 2 2 3 2 3 2 4" xfId="2415"/>
    <cellStyle name="常规 2 2 3 2 3 3" xfId="2416"/>
    <cellStyle name="常规 2 2 3 2 3 3 2" xfId="2417"/>
    <cellStyle name="常规 2 2 3 2 3 3 2 2" xfId="2418"/>
    <cellStyle name="常规 2 2 3 2 3 4" xfId="2419"/>
    <cellStyle name="常规 2 2 3 2 3 5" xfId="2420"/>
    <cellStyle name="常规 2 2 3 2 4" xfId="2421"/>
    <cellStyle name="常规 2 2 3 2 4 2" xfId="2422"/>
    <cellStyle name="常规 2 2 3 2 4 2 2" xfId="2423"/>
    <cellStyle name="常规 2 2 3 2 4 2 2 2" xfId="2424"/>
    <cellStyle name="常规 2 2 3 2 4 3" xfId="2425"/>
    <cellStyle name="常规 2 2 3 2 4 4" xfId="2426"/>
    <cellStyle name="常规 2 2 3 2 5" xfId="2427"/>
    <cellStyle name="常规 2 2 3 2 5 2" xfId="2428"/>
    <cellStyle name="常规 2 2 3 2 5 2 2" xfId="2429"/>
    <cellStyle name="常规 2 2 3 2 6" xfId="2430"/>
    <cellStyle name="常规 2 2 3 3" xfId="2431"/>
    <cellStyle name="常规 2 2 3 3 2" xfId="2432"/>
    <cellStyle name="常规 2 2 3 3 2 2" xfId="2433"/>
    <cellStyle name="常规 2 2 3 3 2 2 2" xfId="2434"/>
    <cellStyle name="常规 2 2 3 3 2 2 2 2" xfId="2435"/>
    <cellStyle name="常规 2 2 3 3 2 2 2 2 2" xfId="2436"/>
    <cellStyle name="常规 2 2 3 3 2 2 2 2 2 2" xfId="2437"/>
    <cellStyle name="常规 2 2 3 3 2 2 2 3" xfId="2438"/>
    <cellStyle name="常规 2 2 3 3 2 2 2 4" xfId="2439"/>
    <cellStyle name="常规 2 2 3 3 2 2 3" xfId="2440"/>
    <cellStyle name="常规 2 2 3 3 2 2 3 2" xfId="2441"/>
    <cellStyle name="常规 2 2 3 3 2 2 3 2 2" xfId="2442"/>
    <cellStyle name="常规 2 2 3 3 2 2 4" xfId="2443"/>
    <cellStyle name="常规 2 2 3 3 2 3" xfId="2444"/>
    <cellStyle name="常规 2 2 3 3 2 3 2" xfId="2445"/>
    <cellStyle name="常规 2 2 3 3 2 3 2 2" xfId="2446"/>
    <cellStyle name="常规 2 2 3 3 2 4" xfId="2447"/>
    <cellStyle name="常规 2 2 3 3 2 5" xfId="2448"/>
    <cellStyle name="常规 2 2 3 3 3" xfId="2449"/>
    <cellStyle name="常规 2 2 3 3 3 2" xfId="2450"/>
    <cellStyle name="常规 2 2 3 3 3 2 2" xfId="2451"/>
    <cellStyle name="常规 2 2 3 3 3 2 2 2" xfId="2452"/>
    <cellStyle name="常规 2 2 3 3 3 3" xfId="2453"/>
    <cellStyle name="常规 2 2 3 3 3 4" xfId="2454"/>
    <cellStyle name="常规 2 2 3 3 4" xfId="2455"/>
    <cellStyle name="常规 2 2 3 3 4 2" xfId="2456"/>
    <cellStyle name="常规 2 2 3 3 4 2 2" xfId="2457"/>
    <cellStyle name="常规 2 2 3 3 5" xfId="2458"/>
    <cellStyle name="常规 2 2 3 4" xfId="2459"/>
    <cellStyle name="常规 2 2 3 4 2" xfId="2460"/>
    <cellStyle name="常规 2 2 3 4 2 2" xfId="2461"/>
    <cellStyle name="常规 2 2 3 4 2 2 2" xfId="2462"/>
    <cellStyle name="常规 2 2 3 4 2 2 2 2" xfId="2463"/>
    <cellStyle name="常规 2 2 3 4 2 3" xfId="2464"/>
    <cellStyle name="常规 2 2 3 4 2 4" xfId="2465"/>
    <cellStyle name="常规 2 2 3 4 3" xfId="2466"/>
    <cellStyle name="常规 2 2 3 4 3 2" xfId="2467"/>
    <cellStyle name="常规 2 2 3 4 3 2 2" xfId="2468"/>
    <cellStyle name="常规 2 2 3 4 4" xfId="2469"/>
    <cellStyle name="常规 2 2 3 5" xfId="2470"/>
    <cellStyle name="常规 2 2 3 5 2" xfId="2471"/>
    <cellStyle name="常规 2 2 3 5 2 2" xfId="2472"/>
    <cellStyle name="常规 2 2 3 6" xfId="2473"/>
    <cellStyle name="常规 2 2 3 7" xfId="2474"/>
    <cellStyle name="常规 2 2 30" xfId="2475"/>
    <cellStyle name="常规 2 2 31" xfId="2476"/>
    <cellStyle name="常规 2 2 32" xfId="2477"/>
    <cellStyle name="常规 2 2 33" xfId="2478"/>
    <cellStyle name="常规 2 2 34" xfId="2479"/>
    <cellStyle name="常规 2 2 35" xfId="2480"/>
    <cellStyle name="常规 2 2 36" xfId="2481"/>
    <cellStyle name="常规 2 2 37" xfId="2482"/>
    <cellStyle name="常规 2 2 38" xfId="2483"/>
    <cellStyle name="常规 2 2 39" xfId="2484"/>
    <cellStyle name="常规 2 2 4" xfId="2485"/>
    <cellStyle name="常规 2 2 4 2" xfId="2486"/>
    <cellStyle name="常规 2 2 4 2 2" xfId="2487"/>
    <cellStyle name="常规 2 2 4 2 2 2" xfId="2488"/>
    <cellStyle name="常规 2 2 4 2 2 2 2" xfId="2489"/>
    <cellStyle name="常规 2 2 4 2 2 2 2 2" xfId="2490"/>
    <cellStyle name="常规 2 2 4 2 2 2 2 2 2" xfId="2491"/>
    <cellStyle name="常规 2 2 4 2 2 2 2 2 2 2" xfId="2492"/>
    <cellStyle name="常规 2 2 4 2 2 2 2 3" xfId="2493"/>
    <cellStyle name="常规 2 2 4 2 2 2 2 4" xfId="2494"/>
    <cellStyle name="常规 2 2 4 2 2 2 3" xfId="2495"/>
    <cellStyle name="常规 2 2 4 2 2 2 3 2" xfId="2496"/>
    <cellStyle name="常规 2 2 4 2 2 2 3 2 2" xfId="2497"/>
    <cellStyle name="常规 2 2 4 2 2 2 4" xfId="2498"/>
    <cellStyle name="常规 2 2 4 2 2 3" xfId="2499"/>
    <cellStyle name="常规 2 2 4 2 2 3 2" xfId="2500"/>
    <cellStyle name="常规 2 2 4 2 2 3 2 2" xfId="2501"/>
    <cellStyle name="常规 2 2 4 2 2 4" xfId="2502"/>
    <cellStyle name="常规 2 2 4 2 2 5" xfId="2503"/>
    <cellStyle name="常规 2 2 4 2 3" xfId="2504"/>
    <cellStyle name="常规 2 2 4 2 3 2" xfId="2505"/>
    <cellStyle name="常规 2 2 4 2 3 2 2" xfId="2506"/>
    <cellStyle name="常规 2 2 4 2 3 2 2 2" xfId="2507"/>
    <cellStyle name="常规 2 2 4 2 3 3" xfId="2508"/>
    <cellStyle name="常规 2 2 4 2 3 4" xfId="2509"/>
    <cellStyle name="常规 2 2 4 2 4" xfId="2510"/>
    <cellStyle name="常规 2 2 4 2 4 2" xfId="2511"/>
    <cellStyle name="常规 2 2 4 2 4 2 2" xfId="2512"/>
    <cellStyle name="常规 2 2 4 2 5" xfId="2513"/>
    <cellStyle name="常规 2 2 4 3" xfId="2514"/>
    <cellStyle name="常规 2 2 4 3 2" xfId="2515"/>
    <cellStyle name="常规 2 2 4 3 2 2" xfId="2516"/>
    <cellStyle name="常规 2 2 4 3 2 2 2" xfId="2517"/>
    <cellStyle name="常规 2 2 4 3 2 2 2 2" xfId="2518"/>
    <cellStyle name="常规 2 2 4 3 2 3" xfId="2519"/>
    <cellStyle name="常规 2 2 4 3 2 4" xfId="2520"/>
    <cellStyle name="常规 2 2 4 3 3" xfId="2521"/>
    <cellStyle name="常规 2 2 4 3 3 2" xfId="2522"/>
    <cellStyle name="常规 2 2 4 3 3 2 2" xfId="2523"/>
    <cellStyle name="常规 2 2 4 3 4" xfId="2524"/>
    <cellStyle name="常规 2 2 4 4" xfId="2525"/>
    <cellStyle name="常规 2 2 4 4 2" xfId="2526"/>
    <cellStyle name="常规 2 2 4 4 2 2" xfId="2527"/>
    <cellStyle name="常规 2 2 4 5" xfId="2528"/>
    <cellStyle name="常规 2 2 4 6" xfId="2529"/>
    <cellStyle name="常规 2 2 40" xfId="2530"/>
    <cellStyle name="常规 2 2 41" xfId="2531"/>
    <cellStyle name="常规 2 2 42" xfId="2532"/>
    <cellStyle name="常规 2 2 42 2" xfId="2533"/>
    <cellStyle name="常规 2 2 42 2 2" xfId="2534"/>
    <cellStyle name="常规 2 2 42 2 2 2" xfId="2535"/>
    <cellStyle name="常规 2 2 42 2 3" xfId="2536"/>
    <cellStyle name="常规 2 2 42 2 4" xfId="2537"/>
    <cellStyle name="常规 2 2 42 2 5" xfId="2538"/>
    <cellStyle name="常规 2 2 42 2 6" xfId="2539"/>
    <cellStyle name="常规 2 2 42 2 7" xfId="2540"/>
    <cellStyle name="常规 2 2 42 3" xfId="2541"/>
    <cellStyle name="常规 2 2 42 3 2" xfId="2542"/>
    <cellStyle name="常规 2 2 42 4" xfId="2543"/>
    <cellStyle name="常规 2 2 42 5" xfId="2544"/>
    <cellStyle name="常规 2 2 42 6" xfId="2545"/>
    <cellStyle name="常规 2 2 42 7" xfId="2546"/>
    <cellStyle name="常规 2 2 43" xfId="2547"/>
    <cellStyle name="常规 2 2 44" xfId="2548"/>
    <cellStyle name="常规 2 2 45" xfId="2549"/>
    <cellStyle name="常规 2 2 46" xfId="2550"/>
    <cellStyle name="常规 2 2 47" xfId="2551"/>
    <cellStyle name="常规 2 2 47 2" xfId="2552"/>
    <cellStyle name="常规 2 2 48" xfId="2553"/>
    <cellStyle name="常规 2 2 49" xfId="2554"/>
    <cellStyle name="常规 2 2 5" xfId="2555"/>
    <cellStyle name="常规 2 2 5 2" xfId="2556"/>
    <cellStyle name="常规 2 2 5 2 2" xfId="2557"/>
    <cellStyle name="常规 2 2 5 2 2 2" xfId="2558"/>
    <cellStyle name="常规 2 2 5 2 2 2 2" xfId="2559"/>
    <cellStyle name="常规 2 2 5 2 2 2 2 2" xfId="2560"/>
    <cellStyle name="常规 2 2 5 2 2 3" xfId="2561"/>
    <cellStyle name="常规 2 2 5 2 2 4" xfId="2562"/>
    <cellStyle name="常规 2 2 5 2 3" xfId="2563"/>
    <cellStyle name="常规 2 2 5 2 3 2" xfId="2564"/>
    <cellStyle name="常规 2 2 5 2 3 2 2" xfId="2565"/>
    <cellStyle name="常规 2 2 5 2 4" xfId="2566"/>
    <cellStyle name="常规 2 2 5 3" xfId="2567"/>
    <cellStyle name="常规 2 2 5 3 2" xfId="2568"/>
    <cellStyle name="常规 2 2 5 3 2 2" xfId="2569"/>
    <cellStyle name="常规 2 2 5 4" xfId="2570"/>
    <cellStyle name="常规 2 2 5 5" xfId="2571"/>
    <cellStyle name="常规 2 2 50" xfId="2572"/>
    <cellStyle name="常规 2 2 51" xfId="2573"/>
    <cellStyle name="常规 2 2 52" xfId="2574"/>
    <cellStyle name="常规 2 2 53" xfId="2575"/>
    <cellStyle name="常规 2 2 54" xfId="2576"/>
    <cellStyle name="常规 2 2 55" xfId="2577"/>
    <cellStyle name="常规 2 2 56" xfId="2578"/>
    <cellStyle name="常规 2 2 57" xfId="2579"/>
    <cellStyle name="常规 2 2 58" xfId="2580"/>
    <cellStyle name="常规 2 2 59" xfId="2581"/>
    <cellStyle name="常规 2 2 6" xfId="2582"/>
    <cellStyle name="常规 2 2 6 2" xfId="2583"/>
    <cellStyle name="常规 2 2 6 2 2" xfId="2584"/>
    <cellStyle name="常规 2 2 6 2 2 2" xfId="2585"/>
    <cellStyle name="常规 2 2 6 3" xfId="2586"/>
    <cellStyle name="常规 2 2 6 4" xfId="2587"/>
    <cellStyle name="常规 2 2 60" xfId="2588"/>
    <cellStyle name="常规 2 2 61" xfId="2589"/>
    <cellStyle name="常规 2 2 62" xfId="2590"/>
    <cellStyle name="常规 2 2 63" xfId="2591"/>
    <cellStyle name="常规 2 2 64" xfId="2592"/>
    <cellStyle name="常规 2 2 65" xfId="2593"/>
    <cellStyle name="常规 2 2 66" xfId="2594"/>
    <cellStyle name="常规 2 2 66 2" xfId="2595"/>
    <cellStyle name="常规 2 2 66 2 2" xfId="2596"/>
    <cellStyle name="常规 2 2 66 2 3" xfId="2597"/>
    <cellStyle name="常规 2 2 66 2 4" xfId="2598"/>
    <cellStyle name="常规 2 2 66 2 5" xfId="2599"/>
    <cellStyle name="常规 2 2 66 3" xfId="2600"/>
    <cellStyle name="常规 2 2 66 4" xfId="2601"/>
    <cellStyle name="常规 2 2 66 5" xfId="2602"/>
    <cellStyle name="常规 2 2 67" xfId="2603"/>
    <cellStyle name="常规 2 2 68" xfId="2604"/>
    <cellStyle name="常规 2 2 69" xfId="2605"/>
    <cellStyle name="常规 2 2 7" xfId="2606"/>
    <cellStyle name="常规 2 2 7 2" xfId="2607"/>
    <cellStyle name="常规 2 2 7 2 2" xfId="2608"/>
    <cellStyle name="常规 2 2 70" xfId="2609"/>
    <cellStyle name="常规 2 2 71" xfId="2610"/>
    <cellStyle name="常规 2 2 72" xfId="2611"/>
    <cellStyle name="常规 2 2 73" xfId="2612"/>
    <cellStyle name="常规 2 2 74" xfId="2613"/>
    <cellStyle name="常规 2 2 75" xfId="2614"/>
    <cellStyle name="常规 2 2 76" xfId="2615"/>
    <cellStyle name="常规 2 2 77" xfId="2616"/>
    <cellStyle name="常规 2 2 77 2" xfId="2617"/>
    <cellStyle name="常规 2 2 77 3" xfId="2618"/>
    <cellStyle name="常规 2 2 78" xfId="2619"/>
    <cellStyle name="常规 2 2 79" xfId="2620"/>
    <cellStyle name="常规 2 2 8" xfId="2621"/>
    <cellStyle name="常规 2 2 9" xfId="2622"/>
    <cellStyle name="常规 2 20" xfId="2623"/>
    <cellStyle name="常规 2 21" xfId="2624"/>
    <cellStyle name="常规 2 22" xfId="2625"/>
    <cellStyle name="常规 2 23" xfId="2626"/>
    <cellStyle name="常规 2 24" xfId="2627"/>
    <cellStyle name="常规 2 25" xfId="2628"/>
    <cellStyle name="常规 2 26" xfId="2629"/>
    <cellStyle name="常规 2 27" xfId="2630"/>
    <cellStyle name="常规 2 28" xfId="2631"/>
    <cellStyle name="常规 2 29" xfId="2632"/>
    <cellStyle name="常规 2 3" xfId="2633"/>
    <cellStyle name="常规 2 3 2" xfId="2634"/>
    <cellStyle name="常规 2 3 2 2" xfId="2635"/>
    <cellStyle name="常规 2 3 2 2 2" xfId="2636"/>
    <cellStyle name="常规 2 3 2 2 2 2" xfId="2637"/>
    <cellStyle name="常规 2 3 2 2 2 2 2" xfId="2638"/>
    <cellStyle name="常规 2 3 2 2 2 2 2 2" xfId="2639"/>
    <cellStyle name="常规 2 3 2 2 2 2 2 2 2" xfId="2640"/>
    <cellStyle name="常规 2 3 2 2 2 2 2 2 2 2" xfId="2641"/>
    <cellStyle name="常规 2 3 2 2 2 2 2 2 2 2 2" xfId="2642"/>
    <cellStyle name="常规 2 3 2 2 2 2 2 2 2 2 2 2" xfId="2643"/>
    <cellStyle name="常规 2 3 2 2 2 2 2 2 2 3" xfId="2644"/>
    <cellStyle name="常规 2 3 2 2 2 2 2 2 2 4" xfId="2645"/>
    <cellStyle name="常规 2 3 2 2 2 2 2 2 3" xfId="2646"/>
    <cellStyle name="常规 2 3 2 2 2 2 2 2 3 2" xfId="2647"/>
    <cellStyle name="常规 2 3 2 2 2 2 2 2 3 2 2" xfId="2648"/>
    <cellStyle name="常规 2 3 2 2 2 2 2 2 4" xfId="2649"/>
    <cellStyle name="常规 2 3 2 2 2 2 2 3" xfId="2650"/>
    <cellStyle name="常规 2 3 2 2 2 2 2 3 2" xfId="2651"/>
    <cellStyle name="常规 2 3 2 2 2 2 2 3 2 2" xfId="2652"/>
    <cellStyle name="常规 2 3 2 2 2 2 2 4" xfId="2653"/>
    <cellStyle name="常规 2 3 2 2 2 2 2 5" xfId="2654"/>
    <cellStyle name="常规 2 3 2 2 2 2 3" xfId="2655"/>
    <cellStyle name="常规 2 3 2 2 2 2 3 2" xfId="2656"/>
    <cellStyle name="常规 2 3 2 2 2 2 3 2 2" xfId="2657"/>
    <cellStyle name="常规 2 3 2 2 2 2 3 2 2 2" xfId="2658"/>
    <cellStyle name="常规 2 3 2 2 2 2 3 3" xfId="2659"/>
    <cellStyle name="常规 2 3 2 2 2 2 3 4" xfId="2660"/>
    <cellStyle name="常规 2 3 2 2 2 2 4" xfId="2661"/>
    <cellStyle name="常规 2 3 2 2 2 2 4 2" xfId="2662"/>
    <cellStyle name="常规 2 3 2 2 2 2 4 2 2" xfId="2663"/>
    <cellStyle name="常规 2 3 2 2 2 2 5" xfId="2664"/>
    <cellStyle name="常规 2 3 2 2 2 3" xfId="2665"/>
    <cellStyle name="常规 2 3 2 2 2 3 2" xfId="2666"/>
    <cellStyle name="常规 2 3 2 2 2 3 2 2" xfId="2667"/>
    <cellStyle name="常规 2 3 2 2 2 3 2 2 2" xfId="2668"/>
    <cellStyle name="常规 2 3 2 2 2 3 2 2 2 2" xfId="2669"/>
    <cellStyle name="常规 2 3 2 2 2 3 2 3" xfId="2670"/>
    <cellStyle name="常规 2 3 2 2 2 3 2 4" xfId="2671"/>
    <cellStyle name="常规 2 3 2 2 2 3 3" xfId="2672"/>
    <cellStyle name="常规 2 3 2 2 2 3 3 2" xfId="2673"/>
    <cellStyle name="常规 2 3 2 2 2 3 3 2 2" xfId="2674"/>
    <cellStyle name="常规 2 3 2 2 2 3 4" xfId="2675"/>
    <cellStyle name="常规 2 3 2 2 2 4" xfId="2676"/>
    <cellStyle name="常规 2 3 2 2 2 4 2" xfId="2677"/>
    <cellStyle name="常规 2 3 2 2 2 4 2 2" xfId="2678"/>
    <cellStyle name="常规 2 3 2 2 2 5" xfId="2679"/>
    <cellStyle name="常规 2 3 2 2 2 6" xfId="2680"/>
    <cellStyle name="常规 2 3 2 2 3" xfId="2681"/>
    <cellStyle name="常规 2 3 2 2 3 2" xfId="2682"/>
    <cellStyle name="常规 2 3 2 2 3 2 2" xfId="2683"/>
    <cellStyle name="常规 2 3 2 2 3 2 2 2" xfId="2684"/>
    <cellStyle name="常规 2 3 2 2 3 2 2 2 2" xfId="2685"/>
    <cellStyle name="常规 2 3 2 2 3 2 2 2 2 2" xfId="2686"/>
    <cellStyle name="常规 2 3 2 2 3 2 2 3" xfId="2687"/>
    <cellStyle name="常规 2 3 2 2 3 2 2 4" xfId="2688"/>
    <cellStyle name="常规 2 3 2 2 3 2 3" xfId="2689"/>
    <cellStyle name="常规 2 3 2 2 3 2 3 2" xfId="2690"/>
    <cellStyle name="常规 2 3 2 2 3 2 3 2 2" xfId="2691"/>
    <cellStyle name="常规 2 3 2 2 3 2 4" xfId="2692"/>
    <cellStyle name="常规 2 3 2 2 3 3" xfId="2693"/>
    <cellStyle name="常规 2 3 2 2 3 3 2" xfId="2694"/>
    <cellStyle name="常规 2 3 2 2 3 3 2 2" xfId="2695"/>
    <cellStyle name="常规 2 3 2 2 3 4" xfId="2696"/>
    <cellStyle name="常规 2 3 2 2 3 5" xfId="2697"/>
    <cellStyle name="常规 2 3 2 2 4" xfId="2698"/>
    <cellStyle name="常规 2 3 2 2 4 2" xfId="2699"/>
    <cellStyle name="常规 2 3 2 2 4 2 2" xfId="2700"/>
    <cellStyle name="常规 2 3 2 2 4 2 2 2" xfId="2701"/>
    <cellStyle name="常规 2 3 2 2 4 3" xfId="2702"/>
    <cellStyle name="常规 2 3 2 2 4 4" xfId="2703"/>
    <cellStyle name="常规 2 3 2 2 5" xfId="2704"/>
    <cellStyle name="常规 2 3 2 2 5 2" xfId="2705"/>
    <cellStyle name="常规 2 3 2 2 5 2 2" xfId="2706"/>
    <cellStyle name="常规 2 3 2 2 6" xfId="2707"/>
    <cellStyle name="常规 2 3 2 3" xfId="2708"/>
    <cellStyle name="常规 2 3 2 3 2" xfId="2709"/>
    <cellStyle name="常规 2 3 2 3 2 2" xfId="2710"/>
    <cellStyle name="常规 2 3 2 3 2 2 2" xfId="2711"/>
    <cellStyle name="常规 2 3 2 3 2 2 2 2" xfId="2712"/>
    <cellStyle name="常规 2 3 2 3 2 2 2 2 2" xfId="2713"/>
    <cellStyle name="常规 2 3 2 3 2 2 2 2 2 2" xfId="2714"/>
    <cellStyle name="常规 2 3 2 3 2 2 2 3" xfId="2715"/>
    <cellStyle name="常规 2 3 2 3 2 2 2 4" xfId="2716"/>
    <cellStyle name="常规 2 3 2 3 2 2 3" xfId="2717"/>
    <cellStyle name="常规 2 3 2 3 2 2 3 2" xfId="2718"/>
    <cellStyle name="常规 2 3 2 3 2 2 3 2 2" xfId="2719"/>
    <cellStyle name="常规 2 3 2 3 2 2 4" xfId="2720"/>
    <cellStyle name="常规 2 3 2 3 2 3" xfId="2721"/>
    <cellStyle name="常规 2 3 2 3 2 3 2" xfId="2722"/>
    <cellStyle name="常规 2 3 2 3 2 3 2 2" xfId="2723"/>
    <cellStyle name="常规 2 3 2 3 2 4" xfId="2724"/>
    <cellStyle name="常规 2 3 2 3 2 5" xfId="2725"/>
    <cellStyle name="常规 2 3 2 3 3" xfId="2726"/>
    <cellStyle name="常规 2 3 2 3 3 2" xfId="2727"/>
    <cellStyle name="常规 2 3 2 3 3 2 2" xfId="2728"/>
    <cellStyle name="常规 2 3 2 3 3 2 2 2" xfId="2729"/>
    <cellStyle name="常规 2 3 2 3 3 3" xfId="2730"/>
    <cellStyle name="常规 2 3 2 3 3 4" xfId="2731"/>
    <cellStyle name="常规 2 3 2 3 4" xfId="2732"/>
    <cellStyle name="常规 2 3 2 3 4 2" xfId="2733"/>
    <cellStyle name="常规 2 3 2 3 4 2 2" xfId="2734"/>
    <cellStyle name="常规 2 3 2 3 5" xfId="2735"/>
    <cellStyle name="常规 2 3 2 4" xfId="2736"/>
    <cellStyle name="常规 2 3 2 4 2" xfId="2737"/>
    <cellStyle name="常规 2 3 2 4 2 2" xfId="2738"/>
    <cellStyle name="常规 2 3 2 4 2 2 2" xfId="2739"/>
    <cellStyle name="常规 2 3 2 4 2 2 2 2" xfId="2740"/>
    <cellStyle name="常规 2 3 2 4 2 3" xfId="2741"/>
    <cellStyle name="常规 2 3 2 4 2 4" xfId="2742"/>
    <cellStyle name="常规 2 3 2 4 3" xfId="2743"/>
    <cellStyle name="常规 2 3 2 4 3 2" xfId="2744"/>
    <cellStyle name="常规 2 3 2 4 3 2 2" xfId="2745"/>
    <cellStyle name="常规 2 3 2 4 4" xfId="2746"/>
    <cellStyle name="常规 2 3 2 5" xfId="2747"/>
    <cellStyle name="常规 2 3 2 5 2" xfId="2748"/>
    <cellStyle name="常规 2 3 2 5 2 2" xfId="2749"/>
    <cellStyle name="常规 2 3 2 6" xfId="2750"/>
    <cellStyle name="常规 2 3 2 7" xfId="2751"/>
    <cellStyle name="常规 2 3 3" xfId="2752"/>
    <cellStyle name="常规 2 3 3 2" xfId="2753"/>
    <cellStyle name="常规 2 3 3 2 2" xfId="2754"/>
    <cellStyle name="常规 2 3 3 2 2 2" xfId="2755"/>
    <cellStyle name="常规 2 3 3 2 2 2 2" xfId="2756"/>
    <cellStyle name="常规 2 3 3 2 2 2 2 2" xfId="2757"/>
    <cellStyle name="常规 2 3 3 2 2 2 2 2 2" xfId="2758"/>
    <cellStyle name="常规 2 3 3 2 2 2 2 2 2 2" xfId="2759"/>
    <cellStyle name="常规 2 3 3 2 2 2 2 3" xfId="2760"/>
    <cellStyle name="常规 2 3 3 2 2 2 2 4" xfId="2761"/>
    <cellStyle name="常规 2 3 3 2 2 2 3" xfId="2762"/>
    <cellStyle name="常规 2 3 3 2 2 2 3 2" xfId="2763"/>
    <cellStyle name="常规 2 3 3 2 2 2 3 2 2" xfId="2764"/>
    <cellStyle name="常规 2 3 3 2 2 2 4" xfId="2765"/>
    <cellStyle name="常规 2 3 3 2 2 3" xfId="2766"/>
    <cellStyle name="常规 2 3 3 2 2 3 2" xfId="2767"/>
    <cellStyle name="常规 2 3 3 2 2 3 2 2" xfId="2768"/>
    <cellStyle name="常规 2 3 3 2 2 4" xfId="2769"/>
    <cellStyle name="常规 2 3 3 2 2 5" xfId="2770"/>
    <cellStyle name="常规 2 3 3 2 3" xfId="2771"/>
    <cellStyle name="常规 2 3 3 2 3 2" xfId="2772"/>
    <cellStyle name="常规 2 3 3 2 3 2 2" xfId="2773"/>
    <cellStyle name="常规 2 3 3 2 3 2 2 2" xfId="2774"/>
    <cellStyle name="常规 2 3 3 2 3 3" xfId="2775"/>
    <cellStyle name="常规 2 3 3 2 3 4" xfId="2776"/>
    <cellStyle name="常规 2 3 3 2 4" xfId="2777"/>
    <cellStyle name="常规 2 3 3 2 4 2" xfId="2778"/>
    <cellStyle name="常规 2 3 3 2 4 2 2" xfId="2779"/>
    <cellStyle name="常规 2 3 3 2 5" xfId="2780"/>
    <cellStyle name="常规 2 3 3 3" xfId="2781"/>
    <cellStyle name="常规 2 3 3 3 2" xfId="2782"/>
    <cellStyle name="常规 2 3 3 3 2 2" xfId="2783"/>
    <cellStyle name="常规 2 3 3 3 2 2 2" xfId="2784"/>
    <cellStyle name="常规 2 3 3 3 2 2 2 2" xfId="2785"/>
    <cellStyle name="常规 2 3 3 3 2 3" xfId="2786"/>
    <cellStyle name="常规 2 3 3 3 2 4" xfId="2787"/>
    <cellStyle name="常规 2 3 3 3 3" xfId="2788"/>
    <cellStyle name="常规 2 3 3 3 3 2" xfId="2789"/>
    <cellStyle name="常规 2 3 3 3 3 2 2" xfId="2790"/>
    <cellStyle name="常规 2 3 3 3 4" xfId="2791"/>
    <cellStyle name="常规 2 3 3 4" xfId="2792"/>
    <cellStyle name="常规 2 3 3 4 2" xfId="2793"/>
    <cellStyle name="常规 2 3 3 4 2 2" xfId="2794"/>
    <cellStyle name="常规 2 3 3 5" xfId="2795"/>
    <cellStyle name="常规 2 3 3 6" xfId="2796"/>
    <cellStyle name="常规 2 3 4" xfId="2797"/>
    <cellStyle name="常规 2 3 4 2" xfId="2798"/>
    <cellStyle name="常规 2 3 4 2 2" xfId="2799"/>
    <cellStyle name="常规 2 3 4 2 2 2" xfId="2800"/>
    <cellStyle name="常规 2 3 4 2 2 2 2" xfId="2801"/>
    <cellStyle name="常规 2 3 4 2 2 2 2 2" xfId="2802"/>
    <cellStyle name="常规 2 3 4 2 2 3" xfId="2803"/>
    <cellStyle name="常规 2 3 4 2 2 4" xfId="2804"/>
    <cellStyle name="常规 2 3 4 2 3" xfId="2805"/>
    <cellStyle name="常规 2 3 4 2 3 2" xfId="2806"/>
    <cellStyle name="常规 2 3 4 2 3 2 2" xfId="2807"/>
    <cellStyle name="常规 2 3 4 2 4" xfId="2808"/>
    <cellStyle name="常规 2 3 4 3" xfId="2809"/>
    <cellStyle name="常规 2 3 4 3 2" xfId="2810"/>
    <cellStyle name="常规 2 3 4 3 2 2" xfId="2811"/>
    <cellStyle name="常规 2 3 4 4" xfId="2812"/>
    <cellStyle name="常规 2 3 4 5" xfId="2813"/>
    <cellStyle name="常规 2 3 5" xfId="2814"/>
    <cellStyle name="常规 2 3 5 2" xfId="2815"/>
    <cellStyle name="常规 2 3 5 2 2" xfId="2816"/>
    <cellStyle name="常规 2 3 5 2 2 2" xfId="2817"/>
    <cellStyle name="常规 2 3 5 3" xfId="2818"/>
    <cellStyle name="常规 2 3 5 4" xfId="2819"/>
    <cellStyle name="常规 2 3 6" xfId="2820"/>
    <cellStyle name="常规 2 3 6 2" xfId="2821"/>
    <cellStyle name="常规 2 3 6 2 2" xfId="2822"/>
    <cellStyle name="常规 2 3 7" xfId="2823"/>
    <cellStyle name="常规 2 30" xfId="2824"/>
    <cellStyle name="常规 2 31" xfId="2825"/>
    <cellStyle name="常规 2 32" xfId="2826"/>
    <cellStyle name="常规 2 33" xfId="2827"/>
    <cellStyle name="常规 2 34" xfId="2828"/>
    <cellStyle name="常规 2 35" xfId="2829"/>
    <cellStyle name="常规 2 36" xfId="2830"/>
    <cellStyle name="常规 2 37" xfId="2831"/>
    <cellStyle name="常规 2 38" xfId="2832"/>
    <cellStyle name="常规 2 39" xfId="2833"/>
    <cellStyle name="常规 2 4" xfId="2834"/>
    <cellStyle name="常规 2 4 2" xfId="2835"/>
    <cellStyle name="常规 2 4 2 2" xfId="2836"/>
    <cellStyle name="常规 2 4 2 2 2" xfId="2837"/>
    <cellStyle name="常规 2 4 2 2 2 2" xfId="2838"/>
    <cellStyle name="常规 2 4 2 2 2 2 2" xfId="2839"/>
    <cellStyle name="常规 2 4 2 2 2 2 2 2" xfId="2840"/>
    <cellStyle name="常规 2 4 2 2 2 2 2 2 2" xfId="2841"/>
    <cellStyle name="常规 2 4 2 2 2 2 2 2 2 2" xfId="2842"/>
    <cellStyle name="常规 2 4 2 2 2 2 2 3" xfId="2843"/>
    <cellStyle name="常规 2 4 2 2 2 2 2 4" xfId="2844"/>
    <cellStyle name="常规 2 4 2 2 2 2 3" xfId="2845"/>
    <cellStyle name="常规 2 4 2 2 2 2 3 2" xfId="2846"/>
    <cellStyle name="常规 2 4 2 2 2 2 3 2 2" xfId="2847"/>
    <cellStyle name="常规 2 4 2 2 2 2 4" xfId="2848"/>
    <cellStyle name="常规 2 4 2 2 2 3" xfId="2849"/>
    <cellStyle name="常规 2 4 2 2 2 3 2" xfId="2850"/>
    <cellStyle name="常规 2 4 2 2 2 3 2 2" xfId="2851"/>
    <cellStyle name="常规 2 4 2 2 2 4" xfId="2852"/>
    <cellStyle name="常规 2 4 2 2 2 5" xfId="2853"/>
    <cellStyle name="常规 2 4 2 2 3" xfId="2854"/>
    <cellStyle name="常规 2 4 2 2 3 2" xfId="2855"/>
    <cellStyle name="常规 2 4 2 2 3 2 2" xfId="2856"/>
    <cellStyle name="常规 2 4 2 2 3 2 2 2" xfId="2857"/>
    <cellStyle name="常规 2 4 2 2 3 3" xfId="2858"/>
    <cellStyle name="常规 2 4 2 2 3 4" xfId="2859"/>
    <cellStyle name="常规 2 4 2 2 4" xfId="2860"/>
    <cellStyle name="常规 2 4 2 2 4 2" xfId="2861"/>
    <cellStyle name="常规 2 4 2 2 4 2 2" xfId="2862"/>
    <cellStyle name="常规 2 4 2 2 5" xfId="2863"/>
    <cellStyle name="常规 2 4 2 3" xfId="2864"/>
    <cellStyle name="常规 2 4 2 3 2" xfId="2865"/>
    <cellStyle name="常规 2 4 2 3 2 2" xfId="2866"/>
    <cellStyle name="常规 2 4 2 3 2 2 2" xfId="2867"/>
    <cellStyle name="常规 2 4 2 3 2 2 2 2" xfId="2868"/>
    <cellStyle name="常规 2 4 2 3 2 3" xfId="2869"/>
    <cellStyle name="常规 2 4 2 3 2 4" xfId="2870"/>
    <cellStyle name="常规 2 4 2 3 3" xfId="2871"/>
    <cellStyle name="常规 2 4 2 3 3 2" xfId="2872"/>
    <cellStyle name="常规 2 4 2 3 3 2 2" xfId="2873"/>
    <cellStyle name="常规 2 4 2 3 4" xfId="2874"/>
    <cellStyle name="常规 2 4 2 4" xfId="2875"/>
    <cellStyle name="常规 2 4 2 4 2" xfId="2876"/>
    <cellStyle name="常规 2 4 2 4 2 2" xfId="2877"/>
    <cellStyle name="常规 2 4 2 5" xfId="2878"/>
    <cellStyle name="常规 2 4 2 6" xfId="2879"/>
    <cellStyle name="常规 2 4 3" xfId="2880"/>
    <cellStyle name="常规 2 4 3 2" xfId="2881"/>
    <cellStyle name="常规 2 4 3 2 2" xfId="2882"/>
    <cellStyle name="常规 2 4 3 2 2 2" xfId="2883"/>
    <cellStyle name="常规 2 4 3 2 2 2 2" xfId="2884"/>
    <cellStyle name="常规 2 4 3 2 2 2 2 2" xfId="2885"/>
    <cellStyle name="常规 2 4 3 2 2 3" xfId="2886"/>
    <cellStyle name="常规 2 4 3 2 2 4" xfId="2887"/>
    <cellStyle name="常规 2 4 3 2 3" xfId="2888"/>
    <cellStyle name="常规 2 4 3 2 3 2" xfId="2889"/>
    <cellStyle name="常规 2 4 3 2 3 2 2" xfId="2890"/>
    <cellStyle name="常规 2 4 3 2 4" xfId="2891"/>
    <cellStyle name="常规 2 4 3 3" xfId="2892"/>
    <cellStyle name="常规 2 4 3 3 2" xfId="2893"/>
    <cellStyle name="常规 2 4 3 3 2 2" xfId="2894"/>
    <cellStyle name="常规 2 4 3 4" xfId="2895"/>
    <cellStyle name="常规 2 4 3 5" xfId="2896"/>
    <cellStyle name="常规 2 4 4" xfId="2897"/>
    <cellStyle name="常规 2 4 4 2" xfId="2898"/>
    <cellStyle name="常规 2 4 4 2 2" xfId="2899"/>
    <cellStyle name="常规 2 4 4 2 2 2" xfId="2900"/>
    <cellStyle name="常规 2 4 4 3" xfId="2901"/>
    <cellStyle name="常规 2 4 4 4" xfId="2902"/>
    <cellStyle name="常规 2 4 5" xfId="2903"/>
    <cellStyle name="常规 2 4 5 2" xfId="2904"/>
    <cellStyle name="常规 2 4 5 2 2" xfId="2905"/>
    <cellStyle name="常规 2 4 6" xfId="2906"/>
    <cellStyle name="常规 2 40" xfId="2907"/>
    <cellStyle name="常规 2 41" xfId="2908"/>
    <cellStyle name="常规 2 42" xfId="2909"/>
    <cellStyle name="常规 2 43" xfId="2910"/>
    <cellStyle name="常规 2 43 2" xfId="2911"/>
    <cellStyle name="常规 2 43 2 2" xfId="2912"/>
    <cellStyle name="常规 2 43 2 2 2" xfId="2913"/>
    <cellStyle name="常规 2 43 2 3" xfId="2914"/>
    <cellStyle name="常规 2 43 2 4" xfId="2915"/>
    <cellStyle name="常规 2 43 2 5" xfId="2916"/>
    <cellStyle name="常规 2 43 2 6" xfId="2917"/>
    <cellStyle name="常规 2 43 2 7" xfId="2918"/>
    <cellStyle name="常规 2 43 3" xfId="2919"/>
    <cellStyle name="常规 2 43 3 2" xfId="2920"/>
    <cellStyle name="常规 2 43 4" xfId="2921"/>
    <cellStyle name="常规 2 43 5" xfId="2922"/>
    <cellStyle name="常规 2 43 6" xfId="2923"/>
    <cellStyle name="常规 2 43 7" xfId="2924"/>
    <cellStyle name="常规 2 44" xfId="2925"/>
    <cellStyle name="常规 2 45" xfId="2926"/>
    <cellStyle name="常规 2 46" xfId="2927"/>
    <cellStyle name="常规 2 47" xfId="2928"/>
    <cellStyle name="常规 2 48" xfId="2929"/>
    <cellStyle name="常规 2 48 2" xfId="2930"/>
    <cellStyle name="常规 2 49" xfId="2931"/>
    <cellStyle name="常规 2 5" xfId="2932"/>
    <cellStyle name="常规 2 5 2" xfId="2933"/>
    <cellStyle name="常规 2 5 2 2" xfId="2934"/>
    <cellStyle name="常规 2 5 2 2 2" xfId="2935"/>
    <cellStyle name="常规 2 5 2 2 2 2" xfId="2936"/>
    <cellStyle name="常规 2 5 2 2 2 2 2" xfId="2937"/>
    <cellStyle name="常规 2 5 2 2 2 2 2 2" xfId="2938"/>
    <cellStyle name="常规 2 5 2 2 2 3" xfId="2939"/>
    <cellStyle name="常规 2 5 2 2 2 4" xfId="2940"/>
    <cellStyle name="常规 2 5 2 2 3" xfId="2941"/>
    <cellStyle name="常规 2 5 2 2 3 2" xfId="2942"/>
    <cellStyle name="常规 2 5 2 2 3 2 2" xfId="2943"/>
    <cellStyle name="常规 2 5 2 2 4" xfId="2944"/>
    <cellStyle name="常规 2 5 2 3" xfId="2945"/>
    <cellStyle name="常规 2 5 2 3 2" xfId="2946"/>
    <cellStyle name="常规 2 5 2 3 2 2" xfId="2947"/>
    <cellStyle name="常规 2 5 2 4" xfId="2948"/>
    <cellStyle name="常规 2 5 2 5" xfId="2949"/>
    <cellStyle name="常规 2 5 3" xfId="2950"/>
    <cellStyle name="常规 2 5 3 2" xfId="2951"/>
    <cellStyle name="常规 2 5 3 2 2" xfId="2952"/>
    <cellStyle name="常规 2 5 3 2 2 2" xfId="2953"/>
    <cellStyle name="常规 2 5 3 3" xfId="2954"/>
    <cellStyle name="常规 2 5 3 4" xfId="2955"/>
    <cellStyle name="常规 2 5 4" xfId="2956"/>
    <cellStyle name="常规 2 5 4 2" xfId="2957"/>
    <cellStyle name="常规 2 5 4 2 2" xfId="2958"/>
    <cellStyle name="常规 2 5 5" xfId="2959"/>
    <cellStyle name="常规 2 50" xfId="2960"/>
    <cellStyle name="常规 2 51" xfId="2961"/>
    <cellStyle name="常规 2 52" xfId="2962"/>
    <cellStyle name="常规 2 53" xfId="2963"/>
    <cellStyle name="常规 2 54" xfId="2964"/>
    <cellStyle name="常规 2 55" xfId="2965"/>
    <cellStyle name="常规 2 56" xfId="2966"/>
    <cellStyle name="常规 2 57" xfId="2967"/>
    <cellStyle name="常规 2 58" xfId="2968"/>
    <cellStyle name="常规 2 59" xfId="2969"/>
    <cellStyle name="常规 2 6" xfId="2970"/>
    <cellStyle name="常规 2 6 2" xfId="2971"/>
    <cellStyle name="常规 2 6 2 2" xfId="2972"/>
    <cellStyle name="常规 2 6 2 2 2" xfId="2973"/>
    <cellStyle name="常规 2 6 2 2 2 2" xfId="2974"/>
    <cellStyle name="常规 2 6 2 3" xfId="2975"/>
    <cellStyle name="常规 2 6 2 4" xfId="2976"/>
    <cellStyle name="常规 2 6 3" xfId="2977"/>
    <cellStyle name="常规 2 6 3 2" xfId="2978"/>
    <cellStyle name="常规 2 6 3 2 2" xfId="2979"/>
    <cellStyle name="常规 2 6 4" xfId="2980"/>
    <cellStyle name="常规 2 60" xfId="2981"/>
    <cellStyle name="常规 2 61" xfId="2982"/>
    <cellStyle name="常规 2 62" xfId="2983"/>
    <cellStyle name="常规 2 63" xfId="2984"/>
    <cellStyle name="常规 2 64" xfId="2985"/>
    <cellStyle name="常规 2 65" xfId="2986"/>
    <cellStyle name="常规 2 66" xfId="2987"/>
    <cellStyle name="常规 2 67" xfId="2988"/>
    <cellStyle name="常规 2 67 2" xfId="2989"/>
    <cellStyle name="常规 2 67 2 2" xfId="2990"/>
    <cellStyle name="常规 2 67 2 3" xfId="2991"/>
    <cellStyle name="常规 2 67 2 4" xfId="2992"/>
    <cellStyle name="常规 2 67 2 5" xfId="2993"/>
    <cellStyle name="常规 2 67 3" xfId="2994"/>
    <cellStyle name="常规 2 67 4" xfId="2995"/>
    <cellStyle name="常规 2 67 5" xfId="2996"/>
    <cellStyle name="常规 2 68" xfId="2997"/>
    <cellStyle name="常规 2 69" xfId="2998"/>
    <cellStyle name="常规 2 7" xfId="2999"/>
    <cellStyle name="常规 2 7 2" xfId="3000"/>
    <cellStyle name="常规 2 7 2 2" xfId="3001"/>
    <cellStyle name="常规 2 70" xfId="3002"/>
    <cellStyle name="常规 2 71" xfId="3003"/>
    <cellStyle name="常规 2 72" xfId="3004"/>
    <cellStyle name="常规 2 73" xfId="3005"/>
    <cellStyle name="常规 2 74" xfId="3006"/>
    <cellStyle name="常规 2 75" xfId="3007"/>
    <cellStyle name="常规 2 76" xfId="3008"/>
    <cellStyle name="常规 2 77" xfId="3009"/>
    <cellStyle name="常规 2 78" xfId="3010"/>
    <cellStyle name="常规 2 78 2" xfId="3011"/>
    <cellStyle name="常规 2 78 3" xfId="3012"/>
    <cellStyle name="常规 2 79" xfId="3013"/>
    <cellStyle name="常规 2 8" xfId="3014"/>
    <cellStyle name="常规 2 80" xfId="3015"/>
    <cellStyle name="常规 2 9" xfId="3016"/>
    <cellStyle name="常规 3" xfId="3017"/>
    <cellStyle name="常规 3 10" xfId="3018"/>
    <cellStyle name="常规 3 11" xfId="3019"/>
    <cellStyle name="常规 3 12" xfId="3020"/>
    <cellStyle name="常规 3 13" xfId="3021"/>
    <cellStyle name="常规 3 14" xfId="3022"/>
    <cellStyle name="常规 3 15" xfId="3023"/>
    <cellStyle name="常规 3 16" xfId="3024"/>
    <cellStyle name="常规 3 17" xfId="3025"/>
    <cellStyle name="常规 3 18" xfId="3026"/>
    <cellStyle name="常规 3 19" xfId="3027"/>
    <cellStyle name="常规 3 2" xfId="3028"/>
    <cellStyle name="常规 3 20" xfId="3029"/>
    <cellStyle name="常规 3 21" xfId="3030"/>
    <cellStyle name="常规 3 22" xfId="3031"/>
    <cellStyle name="常规 3 23" xfId="3032"/>
    <cellStyle name="常规 3 24" xfId="3033"/>
    <cellStyle name="常规 3 25" xfId="3034"/>
    <cellStyle name="常规 3 26" xfId="3035"/>
    <cellStyle name="常规 3 27" xfId="3036"/>
    <cellStyle name="常规 3 28" xfId="3037"/>
    <cellStyle name="常规 3 29" xfId="3038"/>
    <cellStyle name="常规 3 3" xfId="3039"/>
    <cellStyle name="常规 3 30" xfId="3040"/>
    <cellStyle name="常规 3 31" xfId="3041"/>
    <cellStyle name="常规 3 32" xfId="3042"/>
    <cellStyle name="常规 3 33" xfId="3043"/>
    <cellStyle name="常规 3 34" xfId="3044"/>
    <cellStyle name="常规 3 35" xfId="3045"/>
    <cellStyle name="常规 3 36" xfId="3046"/>
    <cellStyle name="常规 3 37" xfId="3047"/>
    <cellStyle name="常规 3 38" xfId="3048"/>
    <cellStyle name="常规 3 39" xfId="3049"/>
    <cellStyle name="常规 3 4" xfId="3050"/>
    <cellStyle name="常规 3 40" xfId="3051"/>
    <cellStyle name="常规 3 41" xfId="3052"/>
    <cellStyle name="常规 3 42" xfId="3053"/>
    <cellStyle name="常规 3 43" xfId="3054"/>
    <cellStyle name="常规 3 44" xfId="3055"/>
    <cellStyle name="常规 3 45" xfId="3056"/>
    <cellStyle name="常规 3 46" xfId="3057"/>
    <cellStyle name="常规 3 47" xfId="3058"/>
    <cellStyle name="常规 3 48" xfId="3059"/>
    <cellStyle name="常规 3 49" xfId="3060"/>
    <cellStyle name="常规 3 5" xfId="3061"/>
    <cellStyle name="常规 3 50" xfId="3062"/>
    <cellStyle name="常规 3 51" xfId="3063"/>
    <cellStyle name="常规 3 52" xfId="3064"/>
    <cellStyle name="常规 3 53" xfId="3065"/>
    <cellStyle name="常规 3 54" xfId="3066"/>
    <cellStyle name="常规 3 55" xfId="3067"/>
    <cellStyle name="常规 3 56" xfId="3068"/>
    <cellStyle name="常规 3 57" xfId="3069"/>
    <cellStyle name="常规 3 58" xfId="3070"/>
    <cellStyle name="常规 3 59" xfId="3071"/>
    <cellStyle name="常规 3 6" xfId="3072"/>
    <cellStyle name="常规 3 60" xfId="3073"/>
    <cellStyle name="常规 3 61" xfId="3074"/>
    <cellStyle name="常规 3 62" xfId="3075"/>
    <cellStyle name="常规 3 63" xfId="3076"/>
    <cellStyle name="常规 3 64" xfId="3077"/>
    <cellStyle name="常规 3 65" xfId="3078"/>
    <cellStyle name="常规 3 66" xfId="3079"/>
    <cellStyle name="常规 3 67" xfId="3080"/>
    <cellStyle name="常规 3 68" xfId="3081"/>
    <cellStyle name="常规 3 69" xfId="3082"/>
    <cellStyle name="常规 3 7" xfId="3083"/>
    <cellStyle name="常规 3 70" xfId="3084"/>
    <cellStyle name="常规 3 8" xfId="3085"/>
    <cellStyle name="常规 3 9" xfId="3086"/>
    <cellStyle name="常规 4" xfId="3087"/>
    <cellStyle name="常规 5" xfId="3175"/>
    <cellStyle name="常规 5 10" xfId="3088"/>
    <cellStyle name="常规 5 11" xfId="3089"/>
    <cellStyle name="常规 5 12" xfId="3090"/>
    <cellStyle name="常规 5 13" xfId="3091"/>
    <cellStyle name="常规 5 14" xfId="3092"/>
    <cellStyle name="常规 5 15" xfId="3093"/>
    <cellStyle name="常规 5 16" xfId="3094"/>
    <cellStyle name="常规 5 17" xfId="3095"/>
    <cellStyle name="常规 5 18" xfId="3096"/>
    <cellStyle name="常规 5 19" xfId="3097"/>
    <cellStyle name="常规 5 2" xfId="3098"/>
    <cellStyle name="常规 5 20" xfId="3099"/>
    <cellStyle name="常规 5 21" xfId="3100"/>
    <cellStyle name="常规 5 22" xfId="3101"/>
    <cellStyle name="常规 5 23" xfId="3102"/>
    <cellStyle name="常规 5 24" xfId="3103"/>
    <cellStyle name="常规 5 25" xfId="3104"/>
    <cellStyle name="常规 5 26" xfId="3105"/>
    <cellStyle name="常规 5 27" xfId="3106"/>
    <cellStyle name="常规 5 28" xfId="3107"/>
    <cellStyle name="常规 5 29" xfId="3108"/>
    <cellStyle name="常规 5 3" xfId="3109"/>
    <cellStyle name="常规 5 30" xfId="3110"/>
    <cellStyle name="常规 5 31" xfId="3111"/>
    <cellStyle name="常规 5 32" xfId="3112"/>
    <cellStyle name="常规 5 33" xfId="3113"/>
    <cellStyle name="常规 5 34" xfId="3114"/>
    <cellStyle name="常规 5 35" xfId="3115"/>
    <cellStyle name="常规 5 36" xfId="3116"/>
    <cellStyle name="常规 5 37" xfId="3117"/>
    <cellStyle name="常规 5 38" xfId="3118"/>
    <cellStyle name="常规 5 39" xfId="3119"/>
    <cellStyle name="常规 5 4" xfId="3120"/>
    <cellStyle name="常规 5 40" xfId="3121"/>
    <cellStyle name="常规 5 41" xfId="3122"/>
    <cellStyle name="常规 5 42" xfId="3123"/>
    <cellStyle name="常规 5 43" xfId="3124"/>
    <cellStyle name="常规 5 44" xfId="3125"/>
    <cellStyle name="常规 5 45" xfId="3126"/>
    <cellStyle name="常规 5 46" xfId="3127"/>
    <cellStyle name="常规 5 47" xfId="3128"/>
    <cellStyle name="常规 5 48" xfId="3129"/>
    <cellStyle name="常规 5 49" xfId="3130"/>
    <cellStyle name="常规 5 5" xfId="3131"/>
    <cellStyle name="常规 5 50" xfId="3132"/>
    <cellStyle name="常规 5 51" xfId="3133"/>
    <cellStyle name="常规 5 52" xfId="3134"/>
    <cellStyle name="常规 5 53" xfId="3135"/>
    <cellStyle name="常规 5 54" xfId="3136"/>
    <cellStyle name="常规 5 55" xfId="3137"/>
    <cellStyle name="常规 5 56" xfId="3138"/>
    <cellStyle name="常规 5 57" xfId="3139"/>
    <cellStyle name="常规 5 58" xfId="3140"/>
    <cellStyle name="常规 5 59" xfId="3141"/>
    <cellStyle name="常规 5 6" xfId="3142"/>
    <cellStyle name="常规 5 60" xfId="3143"/>
    <cellStyle name="常规 5 7" xfId="3144"/>
    <cellStyle name="常规 5 8" xfId="3145"/>
    <cellStyle name="常规 5 9" xfId="3146"/>
    <cellStyle name="常规 6" xfId="3174"/>
    <cellStyle name="常规 6 10" xfId="3147"/>
    <cellStyle name="常规 6 11" xfId="3148"/>
    <cellStyle name="常规 6 12" xfId="3149"/>
    <cellStyle name="常规 6 13" xfId="3150"/>
    <cellStyle name="常规 6 14" xfId="3178"/>
    <cellStyle name="常规 6 14 2" xfId="3185"/>
    <cellStyle name="常规 6 15" xfId="3180"/>
    <cellStyle name="常规 6 15 2" xfId="3187"/>
    <cellStyle name="常规 6 16" xfId="3183"/>
    <cellStyle name="常规 6 2" xfId="3151"/>
    <cellStyle name="常规 6 3" xfId="3152"/>
    <cellStyle name="常规 6 4" xfId="3153"/>
    <cellStyle name="常规 6 5" xfId="3154"/>
    <cellStyle name="常规 6 6" xfId="3155"/>
    <cellStyle name="常规 6 7" xfId="3156"/>
    <cellStyle name="常规 6 8" xfId="3157"/>
    <cellStyle name="常规 6 9" xfId="3158"/>
    <cellStyle name="常规 7" xfId="3177"/>
    <cellStyle name="常规 7 2" xfId="3159"/>
    <cellStyle name="常规 7 3" xfId="3160"/>
    <cellStyle name="常规 7 4" xfId="3161"/>
    <cellStyle name="常规 7 5" xfId="3162"/>
    <cellStyle name="常规 7 6" xfId="3163"/>
    <cellStyle name="常规 7 7" xfId="3164"/>
    <cellStyle name="常规 7 8" xfId="3165"/>
    <cellStyle name="常规 8" xfId="3176"/>
    <cellStyle name="常规 8 2" xfId="3166"/>
    <cellStyle name="常规 8 3" xfId="3167"/>
    <cellStyle name="常规 8 4" xfId="3168"/>
    <cellStyle name="常规 8 5" xfId="3169"/>
    <cellStyle name="常规 8 6" xfId="3170"/>
    <cellStyle name="常规 8 7" xfId="3184"/>
    <cellStyle name="常规 9" xfId="3179"/>
    <cellStyle name="常规 9 2" xfId="3171"/>
    <cellStyle name="常规 9 3" xfId="3172"/>
    <cellStyle name="常规 9 4" xfId="3173"/>
    <cellStyle name="常规 9 5" xfId="3186"/>
  </cellStyles>
  <dxfs count="199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1066"/>
  <sheetViews>
    <sheetView tabSelected="1" workbookViewId="0">
      <pane xSplit="2" ySplit="1" topLeftCell="C1018" activePane="bottomRight" state="frozen"/>
      <selection pane="topRight" activeCell="C1" sqref="C1"/>
      <selection pane="bottomLeft" activeCell="A2" sqref="A2"/>
      <selection pane="bottomRight" activeCell="D1052" sqref="D1052"/>
    </sheetView>
  </sheetViews>
  <sheetFormatPr defaultRowHeight="15" x14ac:dyDescent="0.25"/>
  <cols>
    <col min="2" max="2" width="12.75" bestFit="1" customWidth="1"/>
    <col min="3" max="3" width="11.58203125" bestFit="1" customWidth="1"/>
    <col min="6" max="6" width="11.58203125" bestFit="1" customWidth="1"/>
    <col min="10" max="10" width="35" bestFit="1" customWidth="1"/>
    <col min="11" max="11" width="26.58203125" customWidth="1"/>
    <col min="12" max="12" width="9.5" bestFit="1" customWidth="1"/>
    <col min="16" max="16" width="10.83203125" customWidth="1"/>
    <col min="17" max="17" width="9.5" bestFit="1" customWidth="1"/>
    <col min="21" max="21" width="10.83203125" customWidth="1"/>
    <col min="22" max="22" width="13.83203125" customWidth="1"/>
  </cols>
  <sheetData>
    <row r="1" spans="1:36" x14ac:dyDescent="0.25">
      <c r="A1" t="s">
        <v>7</v>
      </c>
      <c r="B1" t="s">
        <v>8</v>
      </c>
      <c r="C1" t="s">
        <v>0</v>
      </c>
      <c r="D1" t="s">
        <v>3</v>
      </c>
      <c r="E1" t="s">
        <v>4</v>
      </c>
      <c r="F1" t="s">
        <v>1</v>
      </c>
      <c r="G1" t="s">
        <v>2</v>
      </c>
      <c r="H1" t="s">
        <v>5</v>
      </c>
      <c r="I1" t="s">
        <v>6</v>
      </c>
      <c r="J1" t="s">
        <v>9</v>
      </c>
      <c r="K1" t="s">
        <v>21</v>
      </c>
      <c r="L1" t="s">
        <v>26</v>
      </c>
      <c r="M1" t="s">
        <v>27</v>
      </c>
      <c r="N1" t="s">
        <v>23</v>
      </c>
      <c r="O1" t="s">
        <v>24</v>
      </c>
      <c r="P1" t="s">
        <v>25</v>
      </c>
      <c r="Q1" t="s">
        <v>46</v>
      </c>
      <c r="R1" t="s">
        <v>42</v>
      </c>
      <c r="S1" t="s">
        <v>43</v>
      </c>
      <c r="T1" t="s">
        <v>44</v>
      </c>
      <c r="U1" t="s">
        <v>45</v>
      </c>
      <c r="V1" t="s">
        <v>33</v>
      </c>
      <c r="W1" t="s">
        <v>38</v>
      </c>
      <c r="X1" t="s">
        <v>39</v>
      </c>
      <c r="Y1" t="s">
        <v>40</v>
      </c>
      <c r="Z1" t="s">
        <v>41</v>
      </c>
      <c r="AA1" t="s">
        <v>34</v>
      </c>
      <c r="AB1" t="s">
        <v>35</v>
      </c>
      <c r="AC1" t="s">
        <v>36</v>
      </c>
      <c r="AD1" t="s">
        <v>37</v>
      </c>
      <c r="AE1" s="1" t="s">
        <v>47</v>
      </c>
      <c r="AF1" s="1" t="s">
        <v>48</v>
      </c>
      <c r="AG1" s="1" t="s">
        <v>49</v>
      </c>
      <c r="AH1" s="1" t="s">
        <v>50</v>
      </c>
      <c r="AI1" s="1" t="s">
        <v>51</v>
      </c>
      <c r="AJ1" s="1" t="s">
        <v>69</v>
      </c>
    </row>
    <row r="2" spans="1:36" x14ac:dyDescent="0.25">
      <c r="A2">
        <v>1000</v>
      </c>
      <c r="B2" t="s">
        <v>73</v>
      </c>
      <c r="C2">
        <v>0</v>
      </c>
      <c r="D2" s="5">
        <v>40</v>
      </c>
      <c r="E2">
        <v>0</v>
      </c>
      <c r="F2" s="5">
        <v>0</v>
      </c>
      <c r="G2">
        <v>0</v>
      </c>
      <c r="H2">
        <v>0</v>
      </c>
      <c r="I2">
        <v>0</v>
      </c>
      <c r="J2" t="s">
        <v>74</v>
      </c>
      <c r="K2" t="s">
        <v>75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</row>
    <row r="3" spans="1:36" x14ac:dyDescent="0.25">
      <c r="A3">
        <v>1001</v>
      </c>
      <c r="B3" t="s">
        <v>73</v>
      </c>
      <c r="C3">
        <v>0</v>
      </c>
      <c r="D3">
        <v>14</v>
      </c>
      <c r="E3">
        <v>0</v>
      </c>
      <c r="F3">
        <v>4</v>
      </c>
      <c r="G3">
        <v>0</v>
      </c>
      <c r="H3">
        <v>0</v>
      </c>
      <c r="I3">
        <v>0</v>
      </c>
      <c r="J3" t="s">
        <v>74</v>
      </c>
      <c r="K3" t="s">
        <v>75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</row>
    <row r="4" spans="1:36" x14ac:dyDescent="0.25">
      <c r="A4">
        <v>1002</v>
      </c>
      <c r="B4" t="s">
        <v>73</v>
      </c>
      <c r="C4">
        <v>0</v>
      </c>
      <c r="D4">
        <v>22</v>
      </c>
      <c r="E4">
        <v>0</v>
      </c>
      <c r="F4">
        <v>7</v>
      </c>
      <c r="G4">
        <v>0</v>
      </c>
      <c r="H4">
        <v>0</v>
      </c>
      <c r="I4">
        <v>0</v>
      </c>
      <c r="J4" t="s">
        <v>74</v>
      </c>
      <c r="K4" t="s">
        <v>76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</row>
    <row r="5" spans="1:36" x14ac:dyDescent="0.25">
      <c r="A5">
        <v>1003</v>
      </c>
      <c r="B5" t="s">
        <v>73</v>
      </c>
      <c r="C5">
        <v>0</v>
      </c>
      <c r="D5">
        <v>33</v>
      </c>
      <c r="E5">
        <v>0</v>
      </c>
      <c r="F5">
        <v>10</v>
      </c>
      <c r="G5">
        <v>0</v>
      </c>
      <c r="H5">
        <v>0</v>
      </c>
      <c r="I5">
        <v>0</v>
      </c>
      <c r="J5" t="s">
        <v>74</v>
      </c>
      <c r="K5" t="s">
        <v>76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</row>
    <row r="6" spans="1:36" x14ac:dyDescent="0.25">
      <c r="A6">
        <v>1004</v>
      </c>
      <c r="B6" t="s">
        <v>73</v>
      </c>
      <c r="C6">
        <v>0</v>
      </c>
      <c r="D6">
        <v>45</v>
      </c>
      <c r="E6">
        <v>0</v>
      </c>
      <c r="F6">
        <v>14</v>
      </c>
      <c r="G6">
        <v>0</v>
      </c>
      <c r="H6">
        <v>0</v>
      </c>
      <c r="I6">
        <v>0</v>
      </c>
      <c r="J6" t="s">
        <v>74</v>
      </c>
      <c r="K6" t="s">
        <v>77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</row>
    <row r="7" spans="1:36" x14ac:dyDescent="0.25">
      <c r="A7">
        <v>1005</v>
      </c>
      <c r="B7" t="s">
        <v>73</v>
      </c>
      <c r="C7">
        <v>0</v>
      </c>
      <c r="D7">
        <v>62</v>
      </c>
      <c r="E7">
        <v>0</v>
      </c>
      <c r="F7">
        <v>19</v>
      </c>
      <c r="G7">
        <v>0</v>
      </c>
      <c r="H7">
        <v>0</v>
      </c>
      <c r="I7">
        <v>0</v>
      </c>
      <c r="J7" t="s">
        <v>74</v>
      </c>
      <c r="K7" t="s">
        <v>78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</row>
    <row r="8" spans="1:36" x14ac:dyDescent="0.25">
      <c r="A8">
        <v>1006</v>
      </c>
      <c r="B8" t="s">
        <v>79</v>
      </c>
      <c r="C8">
        <v>0</v>
      </c>
      <c r="D8">
        <v>86</v>
      </c>
      <c r="E8">
        <v>0</v>
      </c>
      <c r="F8">
        <v>27</v>
      </c>
      <c r="G8">
        <v>0</v>
      </c>
      <c r="H8">
        <v>0</v>
      </c>
      <c r="I8">
        <v>0</v>
      </c>
      <c r="J8" t="s">
        <v>80</v>
      </c>
      <c r="K8" t="s">
        <v>81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</row>
    <row r="9" spans="1:36" x14ac:dyDescent="0.25">
      <c r="A9">
        <v>1007</v>
      </c>
      <c r="B9" t="s">
        <v>79</v>
      </c>
      <c r="C9">
        <v>0</v>
      </c>
      <c r="D9">
        <v>112</v>
      </c>
      <c r="E9">
        <v>0</v>
      </c>
      <c r="F9">
        <v>35</v>
      </c>
      <c r="G9">
        <v>0</v>
      </c>
      <c r="H9">
        <v>0</v>
      </c>
      <c r="I9">
        <v>0</v>
      </c>
      <c r="J9" t="s">
        <v>80</v>
      </c>
      <c r="K9" t="s">
        <v>82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</row>
    <row r="10" spans="1:36" x14ac:dyDescent="0.25">
      <c r="A10">
        <v>1008</v>
      </c>
      <c r="B10" t="s">
        <v>79</v>
      </c>
      <c r="C10">
        <v>0</v>
      </c>
      <c r="D10">
        <v>140</v>
      </c>
      <c r="E10">
        <v>0</v>
      </c>
      <c r="F10">
        <v>44</v>
      </c>
      <c r="G10">
        <v>0</v>
      </c>
      <c r="H10">
        <v>0</v>
      </c>
      <c r="I10">
        <v>0</v>
      </c>
      <c r="J10" t="s">
        <v>80</v>
      </c>
      <c r="K10" t="s">
        <v>82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</row>
    <row r="11" spans="1:36" x14ac:dyDescent="0.25">
      <c r="A11">
        <v>1009</v>
      </c>
      <c r="B11" t="s">
        <v>79</v>
      </c>
      <c r="C11">
        <v>0</v>
      </c>
      <c r="D11">
        <v>171</v>
      </c>
      <c r="E11">
        <v>0</v>
      </c>
      <c r="F11">
        <v>53</v>
      </c>
      <c r="G11">
        <v>0</v>
      </c>
      <c r="H11">
        <v>0</v>
      </c>
      <c r="I11">
        <v>0</v>
      </c>
      <c r="J11" t="s">
        <v>80</v>
      </c>
      <c r="K11" t="s">
        <v>82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</row>
    <row r="12" spans="1:36" x14ac:dyDescent="0.25">
      <c r="A12">
        <v>1010</v>
      </c>
      <c r="B12" t="s">
        <v>79</v>
      </c>
      <c r="C12">
        <v>0</v>
      </c>
      <c r="D12">
        <v>203</v>
      </c>
      <c r="E12">
        <v>0</v>
      </c>
      <c r="F12">
        <v>64</v>
      </c>
      <c r="G12">
        <v>0</v>
      </c>
      <c r="H12">
        <v>0</v>
      </c>
      <c r="I12">
        <v>0</v>
      </c>
      <c r="J12" t="s">
        <v>80</v>
      </c>
      <c r="K12" t="s">
        <v>82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</row>
    <row r="13" spans="1:36" x14ac:dyDescent="0.25">
      <c r="A13">
        <v>1011</v>
      </c>
      <c r="B13" t="s">
        <v>79</v>
      </c>
      <c r="C13">
        <v>0</v>
      </c>
      <c r="D13">
        <v>238</v>
      </c>
      <c r="E13">
        <v>0</v>
      </c>
      <c r="F13">
        <v>74</v>
      </c>
      <c r="G13">
        <v>0</v>
      </c>
      <c r="H13">
        <v>0</v>
      </c>
      <c r="I13">
        <v>0</v>
      </c>
      <c r="J13" t="s">
        <v>80</v>
      </c>
      <c r="K13" t="s">
        <v>82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</row>
    <row r="14" spans="1:36" x14ac:dyDescent="0.25">
      <c r="A14">
        <v>1012</v>
      </c>
      <c r="B14" t="s">
        <v>79</v>
      </c>
      <c r="C14">
        <v>0</v>
      </c>
      <c r="D14">
        <v>274</v>
      </c>
      <c r="E14">
        <v>0</v>
      </c>
      <c r="F14">
        <v>86</v>
      </c>
      <c r="G14">
        <v>0</v>
      </c>
      <c r="H14">
        <v>0</v>
      </c>
      <c r="I14">
        <v>0</v>
      </c>
      <c r="J14" t="s">
        <v>80</v>
      </c>
      <c r="K14" t="s">
        <v>82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</row>
    <row r="15" spans="1:36" x14ac:dyDescent="0.25">
      <c r="A15">
        <v>1013</v>
      </c>
      <c r="B15" t="s">
        <v>79</v>
      </c>
      <c r="C15">
        <v>0</v>
      </c>
      <c r="D15">
        <v>312</v>
      </c>
      <c r="E15">
        <v>0</v>
      </c>
      <c r="F15">
        <v>98</v>
      </c>
      <c r="G15">
        <v>0</v>
      </c>
      <c r="H15">
        <v>0</v>
      </c>
      <c r="I15">
        <v>0</v>
      </c>
      <c r="J15" t="s">
        <v>80</v>
      </c>
      <c r="K15" t="s">
        <v>82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</row>
    <row r="16" spans="1:36" x14ac:dyDescent="0.25">
      <c r="A16">
        <v>1014</v>
      </c>
      <c r="B16" t="s">
        <v>79</v>
      </c>
      <c r="C16">
        <v>0</v>
      </c>
      <c r="D16">
        <v>352</v>
      </c>
      <c r="E16">
        <v>0</v>
      </c>
      <c r="F16">
        <v>110</v>
      </c>
      <c r="G16">
        <v>0</v>
      </c>
      <c r="H16">
        <v>0</v>
      </c>
      <c r="I16">
        <v>0</v>
      </c>
      <c r="J16" t="s">
        <v>80</v>
      </c>
      <c r="K16" t="s">
        <v>82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</row>
    <row r="17" spans="1:36" x14ac:dyDescent="0.25">
      <c r="A17">
        <v>1104</v>
      </c>
      <c r="B17" t="s">
        <v>73</v>
      </c>
      <c r="C17">
        <v>0</v>
      </c>
      <c r="D17">
        <v>45</v>
      </c>
      <c r="E17">
        <v>0</v>
      </c>
      <c r="F17">
        <v>14</v>
      </c>
      <c r="G17">
        <v>0</v>
      </c>
      <c r="H17">
        <v>0</v>
      </c>
      <c r="I17">
        <v>0</v>
      </c>
      <c r="J17" t="s">
        <v>74</v>
      </c>
      <c r="K17" t="s">
        <v>77</v>
      </c>
      <c r="L17">
        <v>0</v>
      </c>
      <c r="M17">
        <v>0</v>
      </c>
      <c r="N17">
        <v>0</v>
      </c>
      <c r="O17">
        <v>0</v>
      </c>
      <c r="P17">
        <v>0</v>
      </c>
      <c r="Q17">
        <v>500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</row>
    <row r="18" spans="1:36" x14ac:dyDescent="0.25">
      <c r="A18">
        <v>1105</v>
      </c>
      <c r="B18" t="s">
        <v>73</v>
      </c>
      <c r="C18">
        <v>0</v>
      </c>
      <c r="D18">
        <v>62</v>
      </c>
      <c r="E18">
        <v>0</v>
      </c>
      <c r="F18">
        <v>19</v>
      </c>
      <c r="G18">
        <v>0</v>
      </c>
      <c r="H18">
        <v>0</v>
      </c>
      <c r="I18">
        <v>0</v>
      </c>
      <c r="J18" t="s">
        <v>74</v>
      </c>
      <c r="K18" t="s">
        <v>78</v>
      </c>
      <c r="L18">
        <v>0</v>
      </c>
      <c r="M18">
        <v>0</v>
      </c>
      <c r="N18">
        <v>0</v>
      </c>
      <c r="O18">
        <v>0</v>
      </c>
      <c r="P18">
        <v>0</v>
      </c>
      <c r="Q18">
        <v>500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</row>
    <row r="19" spans="1:36" x14ac:dyDescent="0.25">
      <c r="A19">
        <v>1106</v>
      </c>
      <c r="B19" t="s">
        <v>79</v>
      </c>
      <c r="C19">
        <v>0</v>
      </c>
      <c r="D19">
        <v>86</v>
      </c>
      <c r="E19">
        <v>0</v>
      </c>
      <c r="F19">
        <v>27</v>
      </c>
      <c r="G19">
        <v>0</v>
      </c>
      <c r="H19">
        <v>0</v>
      </c>
      <c r="I19">
        <v>0</v>
      </c>
      <c r="J19" t="s">
        <v>80</v>
      </c>
      <c r="K19" t="s">
        <v>81</v>
      </c>
      <c r="L19">
        <v>0</v>
      </c>
      <c r="M19">
        <v>0</v>
      </c>
      <c r="N19">
        <v>0</v>
      </c>
      <c r="O19">
        <v>0</v>
      </c>
      <c r="P19">
        <v>0</v>
      </c>
      <c r="Q19">
        <v>500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</row>
    <row r="20" spans="1:36" x14ac:dyDescent="0.25">
      <c r="A20">
        <v>1107</v>
      </c>
      <c r="B20" t="s">
        <v>79</v>
      </c>
      <c r="C20">
        <v>0</v>
      </c>
      <c r="D20">
        <v>112</v>
      </c>
      <c r="E20">
        <v>0</v>
      </c>
      <c r="F20">
        <v>35</v>
      </c>
      <c r="G20">
        <v>0</v>
      </c>
      <c r="H20">
        <v>0</v>
      </c>
      <c r="I20">
        <v>0</v>
      </c>
      <c r="J20" t="s">
        <v>80</v>
      </c>
      <c r="K20" t="s">
        <v>82</v>
      </c>
      <c r="L20">
        <v>0</v>
      </c>
      <c r="M20">
        <v>0</v>
      </c>
      <c r="N20">
        <v>0</v>
      </c>
      <c r="O20">
        <v>0</v>
      </c>
      <c r="P20">
        <v>0</v>
      </c>
      <c r="Q20">
        <v>500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</row>
    <row r="21" spans="1:36" x14ac:dyDescent="0.25">
      <c r="A21">
        <v>1108</v>
      </c>
      <c r="B21" t="s">
        <v>79</v>
      </c>
      <c r="C21">
        <v>0</v>
      </c>
      <c r="D21">
        <v>140</v>
      </c>
      <c r="E21">
        <v>0</v>
      </c>
      <c r="F21">
        <v>44</v>
      </c>
      <c r="G21">
        <v>0</v>
      </c>
      <c r="H21">
        <v>0</v>
      </c>
      <c r="I21">
        <v>0</v>
      </c>
      <c r="J21" t="s">
        <v>80</v>
      </c>
      <c r="K21" t="s">
        <v>82</v>
      </c>
      <c r="L21">
        <v>0</v>
      </c>
      <c r="M21">
        <v>0</v>
      </c>
      <c r="N21">
        <v>0</v>
      </c>
      <c r="O21">
        <v>0</v>
      </c>
      <c r="P21">
        <v>0</v>
      </c>
      <c r="Q21">
        <v>500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</row>
    <row r="22" spans="1:36" x14ac:dyDescent="0.25">
      <c r="A22">
        <v>1109</v>
      </c>
      <c r="B22" t="s">
        <v>79</v>
      </c>
      <c r="C22">
        <v>0</v>
      </c>
      <c r="D22">
        <v>171</v>
      </c>
      <c r="E22">
        <v>0</v>
      </c>
      <c r="F22">
        <v>53</v>
      </c>
      <c r="G22">
        <v>0</v>
      </c>
      <c r="H22">
        <v>0</v>
      </c>
      <c r="I22">
        <v>0</v>
      </c>
      <c r="J22" t="s">
        <v>80</v>
      </c>
      <c r="K22" t="s">
        <v>82</v>
      </c>
      <c r="L22">
        <v>0</v>
      </c>
      <c r="M22">
        <v>0</v>
      </c>
      <c r="N22">
        <v>0</v>
      </c>
      <c r="O22">
        <v>0</v>
      </c>
      <c r="P22">
        <v>0</v>
      </c>
      <c r="Q22">
        <v>500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</row>
    <row r="23" spans="1:36" x14ac:dyDescent="0.25">
      <c r="A23">
        <v>1110</v>
      </c>
      <c r="B23" t="s">
        <v>79</v>
      </c>
      <c r="C23">
        <v>0</v>
      </c>
      <c r="D23">
        <v>203</v>
      </c>
      <c r="E23">
        <v>0</v>
      </c>
      <c r="F23">
        <v>64</v>
      </c>
      <c r="G23">
        <v>0</v>
      </c>
      <c r="H23">
        <v>0</v>
      </c>
      <c r="I23">
        <v>0</v>
      </c>
      <c r="J23" t="s">
        <v>80</v>
      </c>
      <c r="K23" t="s">
        <v>82</v>
      </c>
      <c r="L23">
        <v>0</v>
      </c>
      <c r="M23">
        <v>0</v>
      </c>
      <c r="N23">
        <v>0</v>
      </c>
      <c r="O23">
        <v>0</v>
      </c>
      <c r="P23">
        <v>0</v>
      </c>
      <c r="Q23">
        <v>500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</row>
    <row r="24" spans="1:36" x14ac:dyDescent="0.25">
      <c r="A24">
        <v>1111</v>
      </c>
      <c r="B24" t="s">
        <v>79</v>
      </c>
      <c r="C24">
        <v>0</v>
      </c>
      <c r="D24">
        <v>238</v>
      </c>
      <c r="E24">
        <v>0</v>
      </c>
      <c r="F24">
        <v>74</v>
      </c>
      <c r="G24">
        <v>0</v>
      </c>
      <c r="H24">
        <v>0</v>
      </c>
      <c r="I24">
        <v>0</v>
      </c>
      <c r="J24" t="s">
        <v>80</v>
      </c>
      <c r="K24" t="s">
        <v>82</v>
      </c>
      <c r="L24">
        <v>0</v>
      </c>
      <c r="M24">
        <v>0</v>
      </c>
      <c r="N24">
        <v>0</v>
      </c>
      <c r="O24">
        <v>0</v>
      </c>
      <c r="P24">
        <v>0</v>
      </c>
      <c r="Q24">
        <v>500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</row>
    <row r="25" spans="1:36" x14ac:dyDescent="0.25">
      <c r="A25">
        <v>1112</v>
      </c>
      <c r="B25" t="s">
        <v>79</v>
      </c>
      <c r="C25">
        <v>0</v>
      </c>
      <c r="D25">
        <v>274</v>
      </c>
      <c r="E25">
        <v>0</v>
      </c>
      <c r="F25">
        <v>86</v>
      </c>
      <c r="G25">
        <v>0</v>
      </c>
      <c r="H25">
        <v>0</v>
      </c>
      <c r="I25">
        <v>0</v>
      </c>
      <c r="J25" t="s">
        <v>80</v>
      </c>
      <c r="K25" t="s">
        <v>82</v>
      </c>
      <c r="L25">
        <v>0</v>
      </c>
      <c r="M25">
        <v>0</v>
      </c>
      <c r="N25">
        <v>0</v>
      </c>
      <c r="O25">
        <v>0</v>
      </c>
      <c r="P25">
        <v>0</v>
      </c>
      <c r="Q25">
        <v>500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</row>
    <row r="26" spans="1:36" x14ac:dyDescent="0.25">
      <c r="A26">
        <v>1113</v>
      </c>
      <c r="B26" t="s">
        <v>79</v>
      </c>
      <c r="C26">
        <v>0</v>
      </c>
      <c r="D26">
        <v>312</v>
      </c>
      <c r="E26">
        <v>0</v>
      </c>
      <c r="F26">
        <v>98</v>
      </c>
      <c r="G26">
        <v>0</v>
      </c>
      <c r="H26">
        <v>0</v>
      </c>
      <c r="I26">
        <v>0</v>
      </c>
      <c r="J26" t="s">
        <v>80</v>
      </c>
      <c r="K26" t="s">
        <v>82</v>
      </c>
      <c r="L26">
        <v>0</v>
      </c>
      <c r="M26">
        <v>0</v>
      </c>
      <c r="N26">
        <v>0</v>
      </c>
      <c r="O26">
        <v>0</v>
      </c>
      <c r="P26">
        <v>0</v>
      </c>
      <c r="Q26">
        <v>500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</row>
    <row r="27" spans="1:36" x14ac:dyDescent="0.25">
      <c r="A27">
        <v>1114</v>
      </c>
      <c r="B27" t="s">
        <v>79</v>
      </c>
      <c r="C27">
        <v>0</v>
      </c>
      <c r="D27">
        <v>352</v>
      </c>
      <c r="E27">
        <v>0</v>
      </c>
      <c r="F27">
        <v>110</v>
      </c>
      <c r="G27">
        <v>0</v>
      </c>
      <c r="H27">
        <v>0</v>
      </c>
      <c r="I27">
        <v>0</v>
      </c>
      <c r="J27" t="s">
        <v>80</v>
      </c>
      <c r="K27" t="s">
        <v>82</v>
      </c>
      <c r="L27">
        <v>0</v>
      </c>
      <c r="M27">
        <v>0</v>
      </c>
      <c r="N27">
        <v>0</v>
      </c>
      <c r="O27">
        <v>0</v>
      </c>
      <c r="P27">
        <v>0</v>
      </c>
      <c r="Q27">
        <v>500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</row>
    <row r="28" spans="1:36" x14ac:dyDescent="0.25">
      <c r="A28">
        <v>2000</v>
      </c>
      <c r="B28" t="s">
        <v>73</v>
      </c>
      <c r="C28">
        <v>0</v>
      </c>
      <c r="D28" s="5">
        <v>40</v>
      </c>
      <c r="E28">
        <v>0</v>
      </c>
      <c r="F28" s="5">
        <v>0</v>
      </c>
      <c r="G28">
        <v>0</v>
      </c>
      <c r="H28">
        <v>0</v>
      </c>
      <c r="I28">
        <v>0</v>
      </c>
      <c r="J28" t="s">
        <v>74</v>
      </c>
      <c r="K28" t="s">
        <v>75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</row>
    <row r="29" spans="1:36" x14ac:dyDescent="0.25">
      <c r="A29">
        <v>2001</v>
      </c>
      <c r="B29" t="s">
        <v>73</v>
      </c>
      <c r="C29">
        <v>0</v>
      </c>
      <c r="D29">
        <v>14</v>
      </c>
      <c r="E29">
        <v>0</v>
      </c>
      <c r="F29">
        <v>4</v>
      </c>
      <c r="G29">
        <v>0</v>
      </c>
      <c r="H29">
        <v>0</v>
      </c>
      <c r="I29">
        <v>0</v>
      </c>
      <c r="J29" t="s">
        <v>74</v>
      </c>
      <c r="K29" t="s">
        <v>75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</row>
    <row r="30" spans="1:36" x14ac:dyDescent="0.25">
      <c r="A30">
        <v>2002</v>
      </c>
      <c r="B30" t="s">
        <v>73</v>
      </c>
      <c r="C30">
        <v>0</v>
      </c>
      <c r="D30">
        <v>22</v>
      </c>
      <c r="E30">
        <v>0</v>
      </c>
      <c r="F30">
        <v>7</v>
      </c>
      <c r="G30">
        <v>0</v>
      </c>
      <c r="H30">
        <v>0</v>
      </c>
      <c r="I30">
        <v>0</v>
      </c>
      <c r="J30" t="s">
        <v>74</v>
      </c>
      <c r="K30" t="s">
        <v>76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</row>
    <row r="31" spans="1:36" x14ac:dyDescent="0.25">
      <c r="A31">
        <v>2003</v>
      </c>
      <c r="B31" t="s">
        <v>73</v>
      </c>
      <c r="C31">
        <v>0</v>
      </c>
      <c r="D31">
        <v>33</v>
      </c>
      <c r="E31">
        <v>0</v>
      </c>
      <c r="F31">
        <v>10</v>
      </c>
      <c r="G31">
        <v>0</v>
      </c>
      <c r="H31">
        <v>0</v>
      </c>
      <c r="I31">
        <v>0</v>
      </c>
      <c r="J31" t="s">
        <v>74</v>
      </c>
      <c r="K31" t="s">
        <v>76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</row>
    <row r="32" spans="1:36" x14ac:dyDescent="0.25">
      <c r="A32">
        <v>2004</v>
      </c>
      <c r="B32" t="s">
        <v>73</v>
      </c>
      <c r="C32">
        <v>0</v>
      </c>
      <c r="D32">
        <v>45</v>
      </c>
      <c r="E32">
        <v>0</v>
      </c>
      <c r="F32">
        <v>14</v>
      </c>
      <c r="G32">
        <v>0</v>
      </c>
      <c r="H32">
        <v>0</v>
      </c>
      <c r="I32">
        <v>0</v>
      </c>
      <c r="J32" t="s">
        <v>74</v>
      </c>
      <c r="K32" t="s">
        <v>77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</row>
    <row r="33" spans="1:36" x14ac:dyDescent="0.25">
      <c r="A33">
        <v>2005</v>
      </c>
      <c r="B33" t="s">
        <v>73</v>
      </c>
      <c r="C33">
        <v>0</v>
      </c>
      <c r="D33">
        <v>62</v>
      </c>
      <c r="E33">
        <v>0</v>
      </c>
      <c r="F33">
        <v>19</v>
      </c>
      <c r="G33">
        <v>0</v>
      </c>
      <c r="H33">
        <v>0</v>
      </c>
      <c r="I33">
        <v>0</v>
      </c>
      <c r="J33" t="s">
        <v>74</v>
      </c>
      <c r="K33" t="s">
        <v>78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</row>
    <row r="34" spans="1:36" x14ac:dyDescent="0.25">
      <c r="A34">
        <v>2006</v>
      </c>
      <c r="B34" t="s">
        <v>79</v>
      </c>
      <c r="C34">
        <v>0</v>
      </c>
      <c r="D34">
        <v>86</v>
      </c>
      <c r="E34">
        <v>0</v>
      </c>
      <c r="F34">
        <v>27</v>
      </c>
      <c r="G34">
        <v>0</v>
      </c>
      <c r="H34">
        <v>0</v>
      </c>
      <c r="I34">
        <v>0</v>
      </c>
      <c r="J34" t="s">
        <v>80</v>
      </c>
      <c r="K34" t="s">
        <v>81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</row>
    <row r="35" spans="1:36" x14ac:dyDescent="0.25">
      <c r="A35">
        <v>2007</v>
      </c>
      <c r="B35" t="s">
        <v>79</v>
      </c>
      <c r="C35">
        <v>0</v>
      </c>
      <c r="D35">
        <v>112</v>
      </c>
      <c r="E35">
        <v>0</v>
      </c>
      <c r="F35">
        <v>35</v>
      </c>
      <c r="G35">
        <v>0</v>
      </c>
      <c r="H35">
        <v>0</v>
      </c>
      <c r="I35">
        <v>0</v>
      </c>
      <c r="J35" t="s">
        <v>80</v>
      </c>
      <c r="K35" t="s">
        <v>82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</row>
    <row r="36" spans="1:36" x14ac:dyDescent="0.25">
      <c r="A36">
        <v>2008</v>
      </c>
      <c r="B36" t="s">
        <v>79</v>
      </c>
      <c r="C36">
        <v>0</v>
      </c>
      <c r="D36">
        <v>140</v>
      </c>
      <c r="E36">
        <v>0</v>
      </c>
      <c r="F36">
        <v>44</v>
      </c>
      <c r="G36">
        <v>0</v>
      </c>
      <c r="H36">
        <v>0</v>
      </c>
      <c r="I36">
        <v>0</v>
      </c>
      <c r="J36" t="s">
        <v>80</v>
      </c>
      <c r="K36" t="s">
        <v>82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</row>
    <row r="37" spans="1:36" x14ac:dyDescent="0.25">
      <c r="A37">
        <v>2009</v>
      </c>
      <c r="B37" t="s">
        <v>79</v>
      </c>
      <c r="C37">
        <v>0</v>
      </c>
      <c r="D37">
        <v>171</v>
      </c>
      <c r="E37">
        <v>0</v>
      </c>
      <c r="F37">
        <v>53</v>
      </c>
      <c r="G37">
        <v>0</v>
      </c>
      <c r="H37">
        <v>0</v>
      </c>
      <c r="I37">
        <v>0</v>
      </c>
      <c r="J37" t="s">
        <v>80</v>
      </c>
      <c r="K37" t="s">
        <v>82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</row>
    <row r="38" spans="1:36" x14ac:dyDescent="0.25">
      <c r="A38">
        <v>2010</v>
      </c>
      <c r="B38" t="s">
        <v>79</v>
      </c>
      <c r="C38">
        <v>0</v>
      </c>
      <c r="D38">
        <v>203</v>
      </c>
      <c r="E38">
        <v>0</v>
      </c>
      <c r="F38">
        <v>64</v>
      </c>
      <c r="G38">
        <v>0</v>
      </c>
      <c r="H38">
        <v>0</v>
      </c>
      <c r="I38">
        <v>0</v>
      </c>
      <c r="J38" t="s">
        <v>80</v>
      </c>
      <c r="K38" t="s">
        <v>82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</row>
    <row r="39" spans="1:36" x14ac:dyDescent="0.25">
      <c r="A39">
        <v>2011</v>
      </c>
      <c r="B39" t="s">
        <v>79</v>
      </c>
      <c r="C39">
        <v>0</v>
      </c>
      <c r="D39">
        <v>238</v>
      </c>
      <c r="E39">
        <v>0</v>
      </c>
      <c r="F39">
        <v>74</v>
      </c>
      <c r="G39">
        <v>0</v>
      </c>
      <c r="H39">
        <v>0</v>
      </c>
      <c r="I39">
        <v>0</v>
      </c>
      <c r="J39" t="s">
        <v>80</v>
      </c>
      <c r="K39" t="s">
        <v>82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</row>
    <row r="40" spans="1:36" x14ac:dyDescent="0.25">
      <c r="A40">
        <v>2012</v>
      </c>
      <c r="B40" t="s">
        <v>79</v>
      </c>
      <c r="C40">
        <v>0</v>
      </c>
      <c r="D40">
        <v>274</v>
      </c>
      <c r="E40">
        <v>0</v>
      </c>
      <c r="F40">
        <v>86</v>
      </c>
      <c r="G40">
        <v>0</v>
      </c>
      <c r="H40">
        <v>0</v>
      </c>
      <c r="I40">
        <v>0</v>
      </c>
      <c r="J40" t="s">
        <v>80</v>
      </c>
      <c r="K40" t="s">
        <v>82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</row>
    <row r="41" spans="1:36" x14ac:dyDescent="0.25">
      <c r="A41">
        <v>2013</v>
      </c>
      <c r="B41" t="s">
        <v>79</v>
      </c>
      <c r="C41">
        <v>0</v>
      </c>
      <c r="D41">
        <v>312</v>
      </c>
      <c r="E41">
        <v>0</v>
      </c>
      <c r="F41">
        <v>98</v>
      </c>
      <c r="G41">
        <v>0</v>
      </c>
      <c r="H41">
        <v>0</v>
      </c>
      <c r="I41">
        <v>0</v>
      </c>
      <c r="J41" t="s">
        <v>80</v>
      </c>
      <c r="K41" t="s">
        <v>82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</row>
    <row r="42" spans="1:36" x14ac:dyDescent="0.25">
      <c r="A42">
        <v>2014</v>
      </c>
      <c r="B42" t="s">
        <v>79</v>
      </c>
      <c r="C42">
        <v>0</v>
      </c>
      <c r="D42">
        <v>352</v>
      </c>
      <c r="E42">
        <v>0</v>
      </c>
      <c r="F42">
        <v>110</v>
      </c>
      <c r="G42">
        <v>0</v>
      </c>
      <c r="H42">
        <v>0</v>
      </c>
      <c r="I42">
        <v>0</v>
      </c>
      <c r="J42" t="s">
        <v>80</v>
      </c>
      <c r="K42" t="s">
        <v>82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</row>
    <row r="43" spans="1:36" x14ac:dyDescent="0.25">
      <c r="A43">
        <v>2104</v>
      </c>
      <c r="B43" t="s">
        <v>73</v>
      </c>
      <c r="C43">
        <v>0</v>
      </c>
      <c r="D43">
        <v>45</v>
      </c>
      <c r="E43">
        <v>0</v>
      </c>
      <c r="F43">
        <v>14</v>
      </c>
      <c r="G43">
        <v>0</v>
      </c>
      <c r="H43">
        <v>0</v>
      </c>
      <c r="I43">
        <v>0</v>
      </c>
      <c r="J43" t="s">
        <v>74</v>
      </c>
      <c r="K43" t="s">
        <v>77</v>
      </c>
      <c r="L43">
        <v>0</v>
      </c>
      <c r="M43">
        <v>0</v>
      </c>
      <c r="N43">
        <v>0</v>
      </c>
      <c r="O43">
        <v>0</v>
      </c>
      <c r="P43">
        <v>0</v>
      </c>
      <c r="Q43">
        <v>500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</row>
    <row r="44" spans="1:36" x14ac:dyDescent="0.25">
      <c r="A44">
        <v>2105</v>
      </c>
      <c r="B44" t="s">
        <v>73</v>
      </c>
      <c r="C44">
        <v>0</v>
      </c>
      <c r="D44">
        <v>62</v>
      </c>
      <c r="E44">
        <v>0</v>
      </c>
      <c r="F44">
        <v>19</v>
      </c>
      <c r="G44">
        <v>0</v>
      </c>
      <c r="H44">
        <v>0</v>
      </c>
      <c r="I44">
        <v>0</v>
      </c>
      <c r="J44" t="s">
        <v>74</v>
      </c>
      <c r="K44" t="s">
        <v>78</v>
      </c>
      <c r="L44">
        <v>0</v>
      </c>
      <c r="M44">
        <v>0</v>
      </c>
      <c r="N44">
        <v>0</v>
      </c>
      <c r="O44">
        <v>0</v>
      </c>
      <c r="P44">
        <v>0</v>
      </c>
      <c r="Q44">
        <v>500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</row>
    <row r="45" spans="1:36" x14ac:dyDescent="0.25">
      <c r="A45">
        <v>2106</v>
      </c>
      <c r="B45" t="s">
        <v>79</v>
      </c>
      <c r="C45">
        <v>0</v>
      </c>
      <c r="D45">
        <v>86</v>
      </c>
      <c r="E45">
        <v>0</v>
      </c>
      <c r="F45">
        <v>27</v>
      </c>
      <c r="G45">
        <v>0</v>
      </c>
      <c r="H45">
        <v>0</v>
      </c>
      <c r="I45">
        <v>0</v>
      </c>
      <c r="J45" t="s">
        <v>80</v>
      </c>
      <c r="K45" t="s">
        <v>81</v>
      </c>
      <c r="L45">
        <v>0</v>
      </c>
      <c r="M45">
        <v>0</v>
      </c>
      <c r="N45">
        <v>0</v>
      </c>
      <c r="O45">
        <v>0</v>
      </c>
      <c r="P45">
        <v>0</v>
      </c>
      <c r="Q45">
        <v>500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</row>
    <row r="46" spans="1:36" x14ac:dyDescent="0.25">
      <c r="A46">
        <v>2107</v>
      </c>
      <c r="B46" t="s">
        <v>79</v>
      </c>
      <c r="C46">
        <v>0</v>
      </c>
      <c r="D46">
        <v>112</v>
      </c>
      <c r="E46">
        <v>0</v>
      </c>
      <c r="F46">
        <v>35</v>
      </c>
      <c r="G46">
        <v>0</v>
      </c>
      <c r="H46">
        <v>0</v>
      </c>
      <c r="I46">
        <v>0</v>
      </c>
      <c r="J46" t="s">
        <v>80</v>
      </c>
      <c r="K46" t="s">
        <v>82</v>
      </c>
      <c r="L46">
        <v>0</v>
      </c>
      <c r="M46">
        <v>0</v>
      </c>
      <c r="N46">
        <v>0</v>
      </c>
      <c r="O46">
        <v>0</v>
      </c>
      <c r="P46">
        <v>0</v>
      </c>
      <c r="Q46">
        <v>500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</row>
    <row r="47" spans="1:36" x14ac:dyDescent="0.25">
      <c r="A47">
        <v>2108</v>
      </c>
      <c r="B47" t="s">
        <v>79</v>
      </c>
      <c r="C47">
        <v>0</v>
      </c>
      <c r="D47">
        <v>140</v>
      </c>
      <c r="E47">
        <v>0</v>
      </c>
      <c r="F47">
        <v>44</v>
      </c>
      <c r="G47">
        <v>0</v>
      </c>
      <c r="H47">
        <v>0</v>
      </c>
      <c r="I47">
        <v>0</v>
      </c>
      <c r="J47" t="s">
        <v>80</v>
      </c>
      <c r="K47" t="s">
        <v>82</v>
      </c>
      <c r="L47">
        <v>0</v>
      </c>
      <c r="M47">
        <v>0</v>
      </c>
      <c r="N47">
        <v>0</v>
      </c>
      <c r="O47">
        <v>0</v>
      </c>
      <c r="P47">
        <v>0</v>
      </c>
      <c r="Q47">
        <v>500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</row>
    <row r="48" spans="1:36" x14ac:dyDescent="0.25">
      <c r="A48">
        <v>2109</v>
      </c>
      <c r="B48" t="s">
        <v>79</v>
      </c>
      <c r="C48">
        <v>0</v>
      </c>
      <c r="D48">
        <v>171</v>
      </c>
      <c r="E48">
        <v>0</v>
      </c>
      <c r="F48">
        <v>53</v>
      </c>
      <c r="G48">
        <v>0</v>
      </c>
      <c r="H48">
        <v>0</v>
      </c>
      <c r="I48">
        <v>0</v>
      </c>
      <c r="J48" t="s">
        <v>80</v>
      </c>
      <c r="K48" t="s">
        <v>82</v>
      </c>
      <c r="L48">
        <v>0</v>
      </c>
      <c r="M48">
        <v>0</v>
      </c>
      <c r="N48">
        <v>0</v>
      </c>
      <c r="O48">
        <v>0</v>
      </c>
      <c r="P48">
        <v>0</v>
      </c>
      <c r="Q48">
        <v>500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</row>
    <row r="49" spans="1:36" x14ac:dyDescent="0.25">
      <c r="A49">
        <v>2110</v>
      </c>
      <c r="B49" t="s">
        <v>79</v>
      </c>
      <c r="C49">
        <v>0</v>
      </c>
      <c r="D49">
        <v>203</v>
      </c>
      <c r="E49">
        <v>0</v>
      </c>
      <c r="F49">
        <v>64</v>
      </c>
      <c r="G49">
        <v>0</v>
      </c>
      <c r="H49">
        <v>0</v>
      </c>
      <c r="I49">
        <v>0</v>
      </c>
      <c r="J49" t="s">
        <v>80</v>
      </c>
      <c r="K49" t="s">
        <v>82</v>
      </c>
      <c r="L49">
        <v>0</v>
      </c>
      <c r="M49">
        <v>0</v>
      </c>
      <c r="N49">
        <v>0</v>
      </c>
      <c r="O49">
        <v>0</v>
      </c>
      <c r="P49">
        <v>0</v>
      </c>
      <c r="Q49">
        <v>500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</row>
    <row r="50" spans="1:36" x14ac:dyDescent="0.25">
      <c r="A50">
        <v>2111</v>
      </c>
      <c r="B50" t="s">
        <v>79</v>
      </c>
      <c r="C50">
        <v>0</v>
      </c>
      <c r="D50">
        <v>238</v>
      </c>
      <c r="E50">
        <v>0</v>
      </c>
      <c r="F50">
        <v>74</v>
      </c>
      <c r="G50">
        <v>0</v>
      </c>
      <c r="H50">
        <v>0</v>
      </c>
      <c r="I50">
        <v>0</v>
      </c>
      <c r="J50" t="s">
        <v>80</v>
      </c>
      <c r="K50" t="s">
        <v>82</v>
      </c>
      <c r="L50">
        <v>0</v>
      </c>
      <c r="M50">
        <v>0</v>
      </c>
      <c r="N50">
        <v>0</v>
      </c>
      <c r="O50">
        <v>0</v>
      </c>
      <c r="P50">
        <v>0</v>
      </c>
      <c r="Q50">
        <v>500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</row>
    <row r="51" spans="1:36" x14ac:dyDescent="0.25">
      <c r="A51">
        <v>2112</v>
      </c>
      <c r="B51" t="s">
        <v>79</v>
      </c>
      <c r="C51">
        <v>0</v>
      </c>
      <c r="D51">
        <v>274</v>
      </c>
      <c r="E51">
        <v>0</v>
      </c>
      <c r="F51">
        <v>86</v>
      </c>
      <c r="G51">
        <v>0</v>
      </c>
      <c r="H51">
        <v>0</v>
      </c>
      <c r="I51">
        <v>0</v>
      </c>
      <c r="J51" t="s">
        <v>80</v>
      </c>
      <c r="K51" t="s">
        <v>82</v>
      </c>
      <c r="L51">
        <v>0</v>
      </c>
      <c r="M51">
        <v>0</v>
      </c>
      <c r="N51">
        <v>0</v>
      </c>
      <c r="O51">
        <v>0</v>
      </c>
      <c r="P51">
        <v>0</v>
      </c>
      <c r="Q51">
        <v>500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</row>
    <row r="52" spans="1:36" x14ac:dyDescent="0.25">
      <c r="A52">
        <v>2113</v>
      </c>
      <c r="B52" t="s">
        <v>79</v>
      </c>
      <c r="C52">
        <v>0</v>
      </c>
      <c r="D52">
        <v>312</v>
      </c>
      <c r="E52">
        <v>0</v>
      </c>
      <c r="F52">
        <v>98</v>
      </c>
      <c r="G52">
        <v>0</v>
      </c>
      <c r="H52">
        <v>0</v>
      </c>
      <c r="I52">
        <v>0</v>
      </c>
      <c r="J52" t="s">
        <v>80</v>
      </c>
      <c r="K52" t="s">
        <v>82</v>
      </c>
      <c r="L52">
        <v>0</v>
      </c>
      <c r="M52">
        <v>0</v>
      </c>
      <c r="N52">
        <v>0</v>
      </c>
      <c r="O52">
        <v>0</v>
      </c>
      <c r="P52">
        <v>0</v>
      </c>
      <c r="Q52">
        <v>500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</row>
    <row r="53" spans="1:36" x14ac:dyDescent="0.25">
      <c r="A53">
        <v>2114</v>
      </c>
      <c r="B53" t="s">
        <v>79</v>
      </c>
      <c r="C53">
        <v>0</v>
      </c>
      <c r="D53">
        <v>352</v>
      </c>
      <c r="E53">
        <v>0</v>
      </c>
      <c r="F53">
        <v>110</v>
      </c>
      <c r="G53">
        <v>0</v>
      </c>
      <c r="H53">
        <v>0</v>
      </c>
      <c r="I53">
        <v>0</v>
      </c>
      <c r="J53" t="s">
        <v>80</v>
      </c>
      <c r="K53" t="s">
        <v>82</v>
      </c>
      <c r="L53">
        <v>0</v>
      </c>
      <c r="M53">
        <v>0</v>
      </c>
      <c r="N53">
        <v>0</v>
      </c>
      <c r="O53">
        <v>0</v>
      </c>
      <c r="P53">
        <v>0</v>
      </c>
      <c r="Q53">
        <v>500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</row>
    <row r="54" spans="1:36" x14ac:dyDescent="0.25">
      <c r="A54">
        <v>3000</v>
      </c>
      <c r="B54" t="s">
        <v>73</v>
      </c>
      <c r="C54">
        <v>0</v>
      </c>
      <c r="D54" s="5">
        <v>40</v>
      </c>
      <c r="E54">
        <v>0</v>
      </c>
      <c r="F54" s="5">
        <v>0</v>
      </c>
      <c r="G54">
        <v>0</v>
      </c>
      <c r="H54">
        <v>0</v>
      </c>
      <c r="I54">
        <v>0</v>
      </c>
      <c r="J54" t="s">
        <v>74</v>
      </c>
      <c r="K54" t="s">
        <v>75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</row>
    <row r="55" spans="1:36" x14ac:dyDescent="0.25">
      <c r="A55">
        <v>3001</v>
      </c>
      <c r="B55" t="s">
        <v>73</v>
      </c>
      <c r="C55">
        <v>0</v>
      </c>
      <c r="D55">
        <v>12</v>
      </c>
      <c r="E55">
        <v>0</v>
      </c>
      <c r="F55">
        <v>9</v>
      </c>
      <c r="G55">
        <v>0</v>
      </c>
      <c r="H55">
        <v>0</v>
      </c>
      <c r="I55">
        <v>0</v>
      </c>
      <c r="J55" t="s">
        <v>74</v>
      </c>
      <c r="K55" t="s">
        <v>75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</row>
    <row r="56" spans="1:36" x14ac:dyDescent="0.25">
      <c r="A56">
        <v>3002</v>
      </c>
      <c r="B56" t="s">
        <v>73</v>
      </c>
      <c r="C56">
        <v>0</v>
      </c>
      <c r="D56">
        <v>19</v>
      </c>
      <c r="E56">
        <v>0</v>
      </c>
      <c r="F56">
        <v>14</v>
      </c>
      <c r="G56">
        <v>0</v>
      </c>
      <c r="H56">
        <v>0</v>
      </c>
      <c r="I56">
        <v>0</v>
      </c>
      <c r="J56" t="s">
        <v>74</v>
      </c>
      <c r="K56" t="s">
        <v>76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</row>
    <row r="57" spans="1:36" x14ac:dyDescent="0.25">
      <c r="A57">
        <v>3003</v>
      </c>
      <c r="B57" t="s">
        <v>73</v>
      </c>
      <c r="C57">
        <v>0</v>
      </c>
      <c r="D57">
        <v>28</v>
      </c>
      <c r="E57">
        <v>0</v>
      </c>
      <c r="F57">
        <v>21</v>
      </c>
      <c r="G57">
        <v>0</v>
      </c>
      <c r="H57">
        <v>0</v>
      </c>
      <c r="I57">
        <v>0</v>
      </c>
      <c r="J57" t="s">
        <v>74</v>
      </c>
      <c r="K57" t="s">
        <v>76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</row>
    <row r="58" spans="1:36" x14ac:dyDescent="0.25">
      <c r="A58">
        <v>3004</v>
      </c>
      <c r="B58" t="s">
        <v>73</v>
      </c>
      <c r="C58">
        <v>0</v>
      </c>
      <c r="D58">
        <v>38</v>
      </c>
      <c r="E58">
        <v>0</v>
      </c>
      <c r="F58">
        <v>28</v>
      </c>
      <c r="G58">
        <v>0</v>
      </c>
      <c r="H58">
        <v>0</v>
      </c>
      <c r="I58">
        <v>0</v>
      </c>
      <c r="J58" t="s">
        <v>74</v>
      </c>
      <c r="K58" t="s">
        <v>77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</row>
    <row r="59" spans="1:36" x14ac:dyDescent="0.25">
      <c r="A59">
        <v>3005</v>
      </c>
      <c r="B59" t="s">
        <v>73</v>
      </c>
      <c r="C59">
        <v>0</v>
      </c>
      <c r="D59">
        <v>52</v>
      </c>
      <c r="E59">
        <v>0</v>
      </c>
      <c r="F59">
        <v>39</v>
      </c>
      <c r="G59">
        <v>0</v>
      </c>
      <c r="H59">
        <v>0</v>
      </c>
      <c r="I59">
        <v>0</v>
      </c>
      <c r="J59" t="s">
        <v>74</v>
      </c>
      <c r="K59" t="s">
        <v>78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</row>
    <row r="60" spans="1:36" x14ac:dyDescent="0.25">
      <c r="A60">
        <v>3006</v>
      </c>
      <c r="B60" t="s">
        <v>79</v>
      </c>
      <c r="C60">
        <v>0</v>
      </c>
      <c r="D60">
        <v>72</v>
      </c>
      <c r="E60">
        <v>0</v>
      </c>
      <c r="F60">
        <v>54</v>
      </c>
      <c r="G60">
        <v>0</v>
      </c>
      <c r="H60">
        <v>0</v>
      </c>
      <c r="I60">
        <v>0</v>
      </c>
      <c r="J60" t="s">
        <v>80</v>
      </c>
      <c r="K60" t="s">
        <v>81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</row>
    <row r="61" spans="1:36" x14ac:dyDescent="0.25">
      <c r="A61">
        <v>3007</v>
      </c>
      <c r="B61" t="s">
        <v>79</v>
      </c>
      <c r="C61">
        <v>0</v>
      </c>
      <c r="D61">
        <v>95</v>
      </c>
      <c r="E61">
        <v>0</v>
      </c>
      <c r="F61">
        <v>70</v>
      </c>
      <c r="G61">
        <v>0</v>
      </c>
      <c r="H61">
        <v>0</v>
      </c>
      <c r="I61">
        <v>0</v>
      </c>
      <c r="J61" t="s">
        <v>80</v>
      </c>
      <c r="K61" t="s">
        <v>82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</row>
    <row r="62" spans="1:36" x14ac:dyDescent="0.25">
      <c r="A62">
        <v>3008</v>
      </c>
      <c r="B62" t="s">
        <v>79</v>
      </c>
      <c r="C62">
        <v>0</v>
      </c>
      <c r="D62">
        <v>119</v>
      </c>
      <c r="E62">
        <v>0</v>
      </c>
      <c r="F62">
        <v>88</v>
      </c>
      <c r="G62">
        <v>0</v>
      </c>
      <c r="H62">
        <v>0</v>
      </c>
      <c r="I62">
        <v>0</v>
      </c>
      <c r="J62" t="s">
        <v>80</v>
      </c>
      <c r="K62" t="s">
        <v>82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</row>
    <row r="63" spans="1:36" x14ac:dyDescent="0.25">
      <c r="A63">
        <v>3009</v>
      </c>
      <c r="B63" t="s">
        <v>79</v>
      </c>
      <c r="C63">
        <v>0</v>
      </c>
      <c r="D63">
        <v>144</v>
      </c>
      <c r="E63">
        <v>0</v>
      </c>
      <c r="F63">
        <v>107</v>
      </c>
      <c r="G63">
        <v>0</v>
      </c>
      <c r="H63">
        <v>0</v>
      </c>
      <c r="I63">
        <v>0</v>
      </c>
      <c r="J63" t="s">
        <v>80</v>
      </c>
      <c r="K63" t="s">
        <v>82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</row>
    <row r="64" spans="1:36" x14ac:dyDescent="0.25">
      <c r="A64">
        <v>3010</v>
      </c>
      <c r="B64" t="s">
        <v>79</v>
      </c>
      <c r="C64">
        <v>0</v>
      </c>
      <c r="D64">
        <v>171</v>
      </c>
      <c r="E64">
        <v>0</v>
      </c>
      <c r="F64">
        <v>127</v>
      </c>
      <c r="G64">
        <v>0</v>
      </c>
      <c r="H64">
        <v>0</v>
      </c>
      <c r="I64">
        <v>0</v>
      </c>
      <c r="J64" t="s">
        <v>80</v>
      </c>
      <c r="K64" t="s">
        <v>82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</row>
    <row r="65" spans="1:36" x14ac:dyDescent="0.25">
      <c r="A65">
        <v>3011</v>
      </c>
      <c r="B65" t="s">
        <v>79</v>
      </c>
      <c r="C65">
        <v>0</v>
      </c>
      <c r="D65">
        <v>201</v>
      </c>
      <c r="E65">
        <v>0</v>
      </c>
      <c r="F65">
        <v>149</v>
      </c>
      <c r="G65">
        <v>0</v>
      </c>
      <c r="H65">
        <v>0</v>
      </c>
      <c r="I65">
        <v>0</v>
      </c>
      <c r="J65" t="s">
        <v>80</v>
      </c>
      <c r="K65" t="s">
        <v>82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</row>
    <row r="66" spans="1:36" x14ac:dyDescent="0.25">
      <c r="A66">
        <v>3012</v>
      </c>
      <c r="B66" t="s">
        <v>79</v>
      </c>
      <c r="C66">
        <v>0</v>
      </c>
      <c r="D66">
        <v>231</v>
      </c>
      <c r="E66">
        <v>0</v>
      </c>
      <c r="F66">
        <v>171</v>
      </c>
      <c r="G66">
        <v>0</v>
      </c>
      <c r="H66">
        <v>0</v>
      </c>
      <c r="I66">
        <v>0</v>
      </c>
      <c r="J66" t="s">
        <v>80</v>
      </c>
      <c r="K66" t="s">
        <v>82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</row>
    <row r="67" spans="1:36" x14ac:dyDescent="0.25">
      <c r="A67">
        <v>3013</v>
      </c>
      <c r="B67" t="s">
        <v>79</v>
      </c>
      <c r="C67">
        <v>0</v>
      </c>
      <c r="D67">
        <v>263</v>
      </c>
      <c r="E67">
        <v>0</v>
      </c>
      <c r="F67">
        <v>195</v>
      </c>
      <c r="G67">
        <v>0</v>
      </c>
      <c r="H67">
        <v>0</v>
      </c>
      <c r="I67">
        <v>0</v>
      </c>
      <c r="J67" t="s">
        <v>80</v>
      </c>
      <c r="K67" t="s">
        <v>82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</row>
    <row r="68" spans="1:36" x14ac:dyDescent="0.25">
      <c r="A68">
        <v>3014</v>
      </c>
      <c r="B68" t="s">
        <v>79</v>
      </c>
      <c r="C68">
        <v>0</v>
      </c>
      <c r="D68">
        <v>297</v>
      </c>
      <c r="E68">
        <v>0</v>
      </c>
      <c r="F68">
        <v>220</v>
      </c>
      <c r="G68">
        <v>0</v>
      </c>
      <c r="H68">
        <v>0</v>
      </c>
      <c r="I68">
        <v>0</v>
      </c>
      <c r="J68" t="s">
        <v>80</v>
      </c>
      <c r="K68" t="s">
        <v>82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</row>
    <row r="69" spans="1:36" x14ac:dyDescent="0.25">
      <c r="A69">
        <v>3104</v>
      </c>
      <c r="B69" t="s">
        <v>73</v>
      </c>
      <c r="C69">
        <v>0</v>
      </c>
      <c r="D69">
        <v>38</v>
      </c>
      <c r="E69">
        <v>0</v>
      </c>
      <c r="F69">
        <v>28</v>
      </c>
      <c r="G69">
        <v>0</v>
      </c>
      <c r="H69">
        <v>0</v>
      </c>
      <c r="I69">
        <v>0</v>
      </c>
      <c r="J69" t="s">
        <v>74</v>
      </c>
      <c r="K69" t="s">
        <v>77</v>
      </c>
      <c r="L69">
        <v>0</v>
      </c>
      <c r="M69">
        <v>0</v>
      </c>
      <c r="N69">
        <v>0</v>
      </c>
      <c r="O69">
        <v>0</v>
      </c>
      <c r="P69">
        <v>0</v>
      </c>
      <c r="Q69">
        <v>500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</row>
    <row r="70" spans="1:36" x14ac:dyDescent="0.25">
      <c r="A70">
        <v>3105</v>
      </c>
      <c r="B70" t="s">
        <v>73</v>
      </c>
      <c r="C70">
        <v>0</v>
      </c>
      <c r="D70">
        <v>52</v>
      </c>
      <c r="E70">
        <v>0</v>
      </c>
      <c r="F70">
        <v>39</v>
      </c>
      <c r="G70">
        <v>0</v>
      </c>
      <c r="H70">
        <v>0</v>
      </c>
      <c r="I70">
        <v>0</v>
      </c>
      <c r="J70" t="s">
        <v>74</v>
      </c>
      <c r="K70" t="s">
        <v>78</v>
      </c>
      <c r="L70">
        <v>0</v>
      </c>
      <c r="M70">
        <v>0</v>
      </c>
      <c r="N70">
        <v>0</v>
      </c>
      <c r="O70">
        <v>0</v>
      </c>
      <c r="P70">
        <v>0</v>
      </c>
      <c r="Q70">
        <v>500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</row>
    <row r="71" spans="1:36" x14ac:dyDescent="0.25">
      <c r="A71">
        <v>3106</v>
      </c>
      <c r="B71" t="s">
        <v>79</v>
      </c>
      <c r="C71">
        <v>0</v>
      </c>
      <c r="D71">
        <v>72</v>
      </c>
      <c r="E71">
        <v>0</v>
      </c>
      <c r="F71">
        <v>54</v>
      </c>
      <c r="G71">
        <v>0</v>
      </c>
      <c r="H71">
        <v>0</v>
      </c>
      <c r="I71">
        <v>0</v>
      </c>
      <c r="J71" t="s">
        <v>80</v>
      </c>
      <c r="K71" t="s">
        <v>81</v>
      </c>
      <c r="L71">
        <v>0</v>
      </c>
      <c r="M71">
        <v>0</v>
      </c>
      <c r="N71">
        <v>0</v>
      </c>
      <c r="O71">
        <v>0</v>
      </c>
      <c r="P71">
        <v>0</v>
      </c>
      <c r="Q71">
        <v>500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</row>
    <row r="72" spans="1:36" x14ac:dyDescent="0.25">
      <c r="A72">
        <v>3107</v>
      </c>
      <c r="B72" t="s">
        <v>79</v>
      </c>
      <c r="C72">
        <v>0</v>
      </c>
      <c r="D72">
        <v>95</v>
      </c>
      <c r="E72">
        <v>0</v>
      </c>
      <c r="F72">
        <v>70</v>
      </c>
      <c r="G72">
        <v>0</v>
      </c>
      <c r="H72">
        <v>0</v>
      </c>
      <c r="I72">
        <v>0</v>
      </c>
      <c r="J72" t="s">
        <v>80</v>
      </c>
      <c r="K72" t="s">
        <v>82</v>
      </c>
      <c r="L72">
        <v>0</v>
      </c>
      <c r="M72">
        <v>0</v>
      </c>
      <c r="N72">
        <v>0</v>
      </c>
      <c r="O72">
        <v>0</v>
      </c>
      <c r="P72">
        <v>0</v>
      </c>
      <c r="Q72">
        <v>500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</row>
    <row r="73" spans="1:36" x14ac:dyDescent="0.25">
      <c r="A73">
        <v>3108</v>
      </c>
      <c r="B73" t="s">
        <v>79</v>
      </c>
      <c r="C73">
        <v>0</v>
      </c>
      <c r="D73">
        <v>119</v>
      </c>
      <c r="E73">
        <v>0</v>
      </c>
      <c r="F73">
        <v>88</v>
      </c>
      <c r="G73">
        <v>0</v>
      </c>
      <c r="H73">
        <v>0</v>
      </c>
      <c r="I73">
        <v>0</v>
      </c>
      <c r="J73" t="s">
        <v>80</v>
      </c>
      <c r="K73" t="s">
        <v>82</v>
      </c>
      <c r="L73">
        <v>0</v>
      </c>
      <c r="M73">
        <v>0</v>
      </c>
      <c r="N73">
        <v>0</v>
      </c>
      <c r="O73">
        <v>0</v>
      </c>
      <c r="P73">
        <v>0</v>
      </c>
      <c r="Q73">
        <v>500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</row>
    <row r="74" spans="1:36" x14ac:dyDescent="0.25">
      <c r="A74">
        <v>3109</v>
      </c>
      <c r="B74" t="s">
        <v>79</v>
      </c>
      <c r="C74">
        <v>0</v>
      </c>
      <c r="D74">
        <v>144</v>
      </c>
      <c r="E74">
        <v>0</v>
      </c>
      <c r="F74">
        <v>107</v>
      </c>
      <c r="G74">
        <v>0</v>
      </c>
      <c r="H74">
        <v>0</v>
      </c>
      <c r="I74">
        <v>0</v>
      </c>
      <c r="J74" t="s">
        <v>80</v>
      </c>
      <c r="K74" t="s">
        <v>82</v>
      </c>
      <c r="L74">
        <v>0</v>
      </c>
      <c r="M74">
        <v>0</v>
      </c>
      <c r="N74">
        <v>0</v>
      </c>
      <c r="O74">
        <v>0</v>
      </c>
      <c r="P74">
        <v>0</v>
      </c>
      <c r="Q74">
        <v>500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</row>
    <row r="75" spans="1:36" x14ac:dyDescent="0.25">
      <c r="A75">
        <v>3110</v>
      </c>
      <c r="B75" t="s">
        <v>79</v>
      </c>
      <c r="C75">
        <v>0</v>
      </c>
      <c r="D75">
        <v>171</v>
      </c>
      <c r="E75">
        <v>0</v>
      </c>
      <c r="F75">
        <v>127</v>
      </c>
      <c r="G75">
        <v>0</v>
      </c>
      <c r="H75">
        <v>0</v>
      </c>
      <c r="I75">
        <v>0</v>
      </c>
      <c r="J75" t="s">
        <v>80</v>
      </c>
      <c r="K75" t="s">
        <v>82</v>
      </c>
      <c r="L75">
        <v>0</v>
      </c>
      <c r="M75">
        <v>0</v>
      </c>
      <c r="N75">
        <v>0</v>
      </c>
      <c r="O75">
        <v>0</v>
      </c>
      <c r="P75">
        <v>0</v>
      </c>
      <c r="Q75">
        <v>500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</row>
    <row r="76" spans="1:36" x14ac:dyDescent="0.25">
      <c r="A76">
        <v>3111</v>
      </c>
      <c r="B76" t="s">
        <v>79</v>
      </c>
      <c r="C76">
        <v>0</v>
      </c>
      <c r="D76">
        <v>201</v>
      </c>
      <c r="E76">
        <v>0</v>
      </c>
      <c r="F76">
        <v>149</v>
      </c>
      <c r="G76">
        <v>0</v>
      </c>
      <c r="H76">
        <v>0</v>
      </c>
      <c r="I76">
        <v>0</v>
      </c>
      <c r="J76" t="s">
        <v>80</v>
      </c>
      <c r="K76" t="s">
        <v>82</v>
      </c>
      <c r="L76">
        <v>0</v>
      </c>
      <c r="M76">
        <v>0</v>
      </c>
      <c r="N76">
        <v>0</v>
      </c>
      <c r="O76">
        <v>0</v>
      </c>
      <c r="P76">
        <v>0</v>
      </c>
      <c r="Q76">
        <v>500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</row>
    <row r="77" spans="1:36" x14ac:dyDescent="0.25">
      <c r="A77">
        <v>3112</v>
      </c>
      <c r="B77" t="s">
        <v>79</v>
      </c>
      <c r="C77">
        <v>0</v>
      </c>
      <c r="D77">
        <v>231</v>
      </c>
      <c r="E77">
        <v>0</v>
      </c>
      <c r="F77">
        <v>171</v>
      </c>
      <c r="G77">
        <v>0</v>
      </c>
      <c r="H77">
        <v>0</v>
      </c>
      <c r="I77">
        <v>0</v>
      </c>
      <c r="J77" t="s">
        <v>80</v>
      </c>
      <c r="K77" t="s">
        <v>82</v>
      </c>
      <c r="L77">
        <v>0</v>
      </c>
      <c r="M77">
        <v>0</v>
      </c>
      <c r="N77">
        <v>0</v>
      </c>
      <c r="O77">
        <v>0</v>
      </c>
      <c r="P77">
        <v>0</v>
      </c>
      <c r="Q77">
        <v>500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</row>
    <row r="78" spans="1:36" x14ac:dyDescent="0.25">
      <c r="A78">
        <v>3113</v>
      </c>
      <c r="B78" t="s">
        <v>79</v>
      </c>
      <c r="C78">
        <v>0</v>
      </c>
      <c r="D78">
        <v>263</v>
      </c>
      <c r="E78">
        <v>0</v>
      </c>
      <c r="F78">
        <v>195</v>
      </c>
      <c r="G78">
        <v>0</v>
      </c>
      <c r="H78">
        <v>0</v>
      </c>
      <c r="I78">
        <v>0</v>
      </c>
      <c r="J78" t="s">
        <v>80</v>
      </c>
      <c r="K78" t="s">
        <v>82</v>
      </c>
      <c r="L78">
        <v>0</v>
      </c>
      <c r="M78">
        <v>0</v>
      </c>
      <c r="N78">
        <v>0</v>
      </c>
      <c r="O78">
        <v>0</v>
      </c>
      <c r="P78">
        <v>0</v>
      </c>
      <c r="Q78">
        <v>500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</row>
    <row r="79" spans="1:36" x14ac:dyDescent="0.25">
      <c r="A79">
        <v>3114</v>
      </c>
      <c r="B79" t="s">
        <v>79</v>
      </c>
      <c r="C79">
        <v>0</v>
      </c>
      <c r="D79">
        <v>297</v>
      </c>
      <c r="E79">
        <v>0</v>
      </c>
      <c r="F79">
        <v>220</v>
      </c>
      <c r="G79">
        <v>0</v>
      </c>
      <c r="H79">
        <v>0</v>
      </c>
      <c r="I79">
        <v>0</v>
      </c>
      <c r="J79" t="s">
        <v>80</v>
      </c>
      <c r="K79" t="s">
        <v>82</v>
      </c>
      <c r="L79">
        <v>0</v>
      </c>
      <c r="M79">
        <v>0</v>
      </c>
      <c r="N79">
        <v>0</v>
      </c>
      <c r="O79">
        <v>0</v>
      </c>
      <c r="P79">
        <v>0</v>
      </c>
      <c r="Q79">
        <v>500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</row>
    <row r="80" spans="1:36" x14ac:dyDescent="0.25">
      <c r="A80">
        <v>4000</v>
      </c>
      <c r="B80" t="s">
        <v>73</v>
      </c>
      <c r="C80">
        <v>0</v>
      </c>
      <c r="D80">
        <v>0</v>
      </c>
      <c r="E80" s="5">
        <v>40</v>
      </c>
      <c r="F80">
        <v>0</v>
      </c>
      <c r="G80" s="5">
        <v>0</v>
      </c>
      <c r="H80">
        <v>0</v>
      </c>
      <c r="I80">
        <v>0</v>
      </c>
      <c r="J80" t="s">
        <v>74</v>
      </c>
      <c r="K80" t="s">
        <v>75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</row>
    <row r="81" spans="1:36" x14ac:dyDescent="0.25">
      <c r="A81">
        <v>4001</v>
      </c>
      <c r="B81" t="s">
        <v>73</v>
      </c>
      <c r="C81">
        <v>0</v>
      </c>
      <c r="D81">
        <v>0</v>
      </c>
      <c r="E81">
        <v>12</v>
      </c>
      <c r="F81">
        <v>0</v>
      </c>
      <c r="G81">
        <v>9</v>
      </c>
      <c r="H81">
        <v>0</v>
      </c>
      <c r="I81">
        <v>0</v>
      </c>
      <c r="J81" t="s">
        <v>74</v>
      </c>
      <c r="K81" t="s">
        <v>75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</row>
    <row r="82" spans="1:36" x14ac:dyDescent="0.25">
      <c r="A82">
        <v>4002</v>
      </c>
      <c r="B82" t="s">
        <v>73</v>
      </c>
      <c r="C82">
        <v>0</v>
      </c>
      <c r="D82">
        <v>0</v>
      </c>
      <c r="E82">
        <v>19</v>
      </c>
      <c r="F82">
        <v>0</v>
      </c>
      <c r="G82">
        <v>14</v>
      </c>
      <c r="H82">
        <v>0</v>
      </c>
      <c r="I82">
        <v>0</v>
      </c>
      <c r="J82" t="s">
        <v>74</v>
      </c>
      <c r="K82" t="s">
        <v>76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</row>
    <row r="83" spans="1:36" x14ac:dyDescent="0.25">
      <c r="A83">
        <v>4003</v>
      </c>
      <c r="B83" t="s">
        <v>73</v>
      </c>
      <c r="C83">
        <v>0</v>
      </c>
      <c r="D83">
        <v>0</v>
      </c>
      <c r="E83">
        <v>28</v>
      </c>
      <c r="F83">
        <v>0</v>
      </c>
      <c r="G83">
        <v>21</v>
      </c>
      <c r="H83">
        <v>0</v>
      </c>
      <c r="I83">
        <v>0</v>
      </c>
      <c r="J83" t="s">
        <v>74</v>
      </c>
      <c r="K83" t="s">
        <v>76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</row>
    <row r="84" spans="1:36" x14ac:dyDescent="0.25">
      <c r="A84">
        <v>4004</v>
      </c>
      <c r="B84" t="s">
        <v>73</v>
      </c>
      <c r="C84">
        <v>0</v>
      </c>
      <c r="D84">
        <v>0</v>
      </c>
      <c r="E84">
        <v>38</v>
      </c>
      <c r="F84">
        <v>0</v>
      </c>
      <c r="G84">
        <v>28</v>
      </c>
      <c r="H84">
        <v>0</v>
      </c>
      <c r="I84">
        <v>0</v>
      </c>
      <c r="J84" t="s">
        <v>74</v>
      </c>
      <c r="K84" t="s">
        <v>77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</row>
    <row r="85" spans="1:36" x14ac:dyDescent="0.25">
      <c r="A85">
        <v>4005</v>
      </c>
      <c r="B85" t="s">
        <v>73</v>
      </c>
      <c r="C85">
        <v>0</v>
      </c>
      <c r="D85">
        <v>0</v>
      </c>
      <c r="E85">
        <v>52</v>
      </c>
      <c r="F85">
        <v>0</v>
      </c>
      <c r="G85">
        <v>39</v>
      </c>
      <c r="H85">
        <v>0</v>
      </c>
      <c r="I85">
        <v>0</v>
      </c>
      <c r="J85" t="s">
        <v>74</v>
      </c>
      <c r="K85" t="s">
        <v>78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</row>
    <row r="86" spans="1:36" x14ac:dyDescent="0.25">
      <c r="A86">
        <v>4006</v>
      </c>
      <c r="B86" t="s">
        <v>79</v>
      </c>
      <c r="C86">
        <v>0</v>
      </c>
      <c r="D86">
        <v>0</v>
      </c>
      <c r="E86">
        <v>72</v>
      </c>
      <c r="F86">
        <v>0</v>
      </c>
      <c r="G86">
        <v>54</v>
      </c>
      <c r="H86">
        <v>0</v>
      </c>
      <c r="I86">
        <v>0</v>
      </c>
      <c r="J86" t="s">
        <v>80</v>
      </c>
      <c r="K86" t="s">
        <v>81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</row>
    <row r="87" spans="1:36" x14ac:dyDescent="0.25">
      <c r="A87">
        <v>4007</v>
      </c>
      <c r="B87" t="s">
        <v>79</v>
      </c>
      <c r="C87">
        <v>0</v>
      </c>
      <c r="D87">
        <v>0</v>
      </c>
      <c r="E87">
        <v>95</v>
      </c>
      <c r="F87">
        <v>0</v>
      </c>
      <c r="G87">
        <v>70</v>
      </c>
      <c r="H87">
        <v>0</v>
      </c>
      <c r="I87">
        <v>0</v>
      </c>
      <c r="J87" t="s">
        <v>80</v>
      </c>
      <c r="K87" t="s">
        <v>82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</row>
    <row r="88" spans="1:36" x14ac:dyDescent="0.25">
      <c r="A88">
        <v>4008</v>
      </c>
      <c r="B88" t="s">
        <v>79</v>
      </c>
      <c r="C88">
        <v>0</v>
      </c>
      <c r="D88">
        <v>0</v>
      </c>
      <c r="E88">
        <v>119</v>
      </c>
      <c r="F88">
        <v>0</v>
      </c>
      <c r="G88">
        <v>88</v>
      </c>
      <c r="H88">
        <v>0</v>
      </c>
      <c r="I88">
        <v>0</v>
      </c>
      <c r="J88" t="s">
        <v>80</v>
      </c>
      <c r="K88" t="s">
        <v>82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</row>
    <row r="89" spans="1:36" x14ac:dyDescent="0.25">
      <c r="A89">
        <v>4009</v>
      </c>
      <c r="B89" t="s">
        <v>79</v>
      </c>
      <c r="C89">
        <v>0</v>
      </c>
      <c r="D89">
        <v>0</v>
      </c>
      <c r="E89">
        <v>144</v>
      </c>
      <c r="F89">
        <v>0</v>
      </c>
      <c r="G89">
        <v>107</v>
      </c>
      <c r="H89">
        <v>0</v>
      </c>
      <c r="I89">
        <v>0</v>
      </c>
      <c r="J89" t="s">
        <v>80</v>
      </c>
      <c r="K89" t="s">
        <v>82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</row>
    <row r="90" spans="1:36" x14ac:dyDescent="0.25">
      <c r="A90">
        <v>4010</v>
      </c>
      <c r="B90" t="s">
        <v>79</v>
      </c>
      <c r="C90">
        <v>0</v>
      </c>
      <c r="D90">
        <v>0</v>
      </c>
      <c r="E90">
        <v>171</v>
      </c>
      <c r="F90">
        <v>0</v>
      </c>
      <c r="G90">
        <v>127</v>
      </c>
      <c r="H90">
        <v>0</v>
      </c>
      <c r="I90">
        <v>0</v>
      </c>
      <c r="J90" t="s">
        <v>80</v>
      </c>
      <c r="K90" t="s">
        <v>82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</row>
    <row r="91" spans="1:36" x14ac:dyDescent="0.25">
      <c r="A91">
        <v>4011</v>
      </c>
      <c r="B91" t="s">
        <v>79</v>
      </c>
      <c r="C91">
        <v>0</v>
      </c>
      <c r="D91">
        <v>0</v>
      </c>
      <c r="E91">
        <v>201</v>
      </c>
      <c r="F91">
        <v>0</v>
      </c>
      <c r="G91">
        <v>149</v>
      </c>
      <c r="H91">
        <v>0</v>
      </c>
      <c r="I91">
        <v>0</v>
      </c>
      <c r="J91" t="s">
        <v>80</v>
      </c>
      <c r="K91" t="s">
        <v>82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</row>
    <row r="92" spans="1:36" x14ac:dyDescent="0.25">
      <c r="A92">
        <v>4012</v>
      </c>
      <c r="B92" t="s">
        <v>79</v>
      </c>
      <c r="C92">
        <v>0</v>
      </c>
      <c r="D92">
        <v>0</v>
      </c>
      <c r="E92">
        <v>231</v>
      </c>
      <c r="F92">
        <v>0</v>
      </c>
      <c r="G92">
        <v>171</v>
      </c>
      <c r="H92">
        <v>0</v>
      </c>
      <c r="I92">
        <v>0</v>
      </c>
      <c r="J92" t="s">
        <v>80</v>
      </c>
      <c r="K92" t="s">
        <v>82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</row>
    <row r="93" spans="1:36" x14ac:dyDescent="0.25">
      <c r="A93">
        <v>4013</v>
      </c>
      <c r="B93" t="s">
        <v>79</v>
      </c>
      <c r="C93">
        <v>0</v>
      </c>
      <c r="D93">
        <v>0</v>
      </c>
      <c r="E93">
        <v>263</v>
      </c>
      <c r="F93">
        <v>0</v>
      </c>
      <c r="G93">
        <v>195</v>
      </c>
      <c r="H93">
        <v>0</v>
      </c>
      <c r="I93">
        <v>0</v>
      </c>
      <c r="J93" t="s">
        <v>80</v>
      </c>
      <c r="K93" t="s">
        <v>82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</row>
    <row r="94" spans="1:36" x14ac:dyDescent="0.25">
      <c r="A94">
        <v>4014</v>
      </c>
      <c r="B94" t="s">
        <v>79</v>
      </c>
      <c r="C94">
        <v>0</v>
      </c>
      <c r="D94">
        <v>0</v>
      </c>
      <c r="E94">
        <v>297</v>
      </c>
      <c r="F94">
        <v>0</v>
      </c>
      <c r="G94">
        <v>220</v>
      </c>
      <c r="H94">
        <v>0</v>
      </c>
      <c r="I94">
        <v>0</v>
      </c>
      <c r="J94" t="s">
        <v>80</v>
      </c>
      <c r="K94" t="s">
        <v>82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</row>
    <row r="95" spans="1:36" x14ac:dyDescent="0.25">
      <c r="A95">
        <v>4104</v>
      </c>
      <c r="B95" t="s">
        <v>73</v>
      </c>
      <c r="C95">
        <v>0</v>
      </c>
      <c r="D95">
        <v>0</v>
      </c>
      <c r="E95">
        <v>38</v>
      </c>
      <c r="F95">
        <v>0</v>
      </c>
      <c r="G95">
        <v>28</v>
      </c>
      <c r="H95">
        <v>0</v>
      </c>
      <c r="I95">
        <v>0</v>
      </c>
      <c r="J95" t="s">
        <v>74</v>
      </c>
      <c r="K95" t="s">
        <v>77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500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</row>
    <row r="96" spans="1:36" x14ac:dyDescent="0.25">
      <c r="A96">
        <v>4105</v>
      </c>
      <c r="B96" t="s">
        <v>73</v>
      </c>
      <c r="C96">
        <v>0</v>
      </c>
      <c r="D96">
        <v>0</v>
      </c>
      <c r="E96">
        <v>52</v>
      </c>
      <c r="F96">
        <v>0</v>
      </c>
      <c r="G96">
        <v>39</v>
      </c>
      <c r="H96">
        <v>0</v>
      </c>
      <c r="I96">
        <v>0</v>
      </c>
      <c r="J96" t="s">
        <v>74</v>
      </c>
      <c r="K96" t="s">
        <v>78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500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</row>
    <row r="97" spans="1:36" x14ac:dyDescent="0.25">
      <c r="A97">
        <v>4106</v>
      </c>
      <c r="B97" t="s">
        <v>79</v>
      </c>
      <c r="C97">
        <v>0</v>
      </c>
      <c r="D97">
        <v>0</v>
      </c>
      <c r="E97">
        <v>72</v>
      </c>
      <c r="F97">
        <v>0</v>
      </c>
      <c r="G97">
        <v>54</v>
      </c>
      <c r="H97">
        <v>0</v>
      </c>
      <c r="I97">
        <v>0</v>
      </c>
      <c r="J97" t="s">
        <v>80</v>
      </c>
      <c r="K97" t="s">
        <v>81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500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</row>
    <row r="98" spans="1:36" x14ac:dyDescent="0.25">
      <c r="A98">
        <v>4107</v>
      </c>
      <c r="B98" t="s">
        <v>79</v>
      </c>
      <c r="C98">
        <v>0</v>
      </c>
      <c r="D98">
        <v>0</v>
      </c>
      <c r="E98">
        <v>95</v>
      </c>
      <c r="F98">
        <v>0</v>
      </c>
      <c r="G98">
        <v>70</v>
      </c>
      <c r="H98">
        <v>0</v>
      </c>
      <c r="I98">
        <v>0</v>
      </c>
      <c r="J98" t="s">
        <v>80</v>
      </c>
      <c r="K98" t="s">
        <v>82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500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</row>
    <row r="99" spans="1:36" x14ac:dyDescent="0.25">
      <c r="A99">
        <v>4108</v>
      </c>
      <c r="B99" t="s">
        <v>79</v>
      </c>
      <c r="C99">
        <v>0</v>
      </c>
      <c r="D99">
        <v>0</v>
      </c>
      <c r="E99">
        <v>119</v>
      </c>
      <c r="F99">
        <v>0</v>
      </c>
      <c r="G99">
        <v>88</v>
      </c>
      <c r="H99">
        <v>0</v>
      </c>
      <c r="I99">
        <v>0</v>
      </c>
      <c r="J99" t="s">
        <v>80</v>
      </c>
      <c r="K99" t="s">
        <v>82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500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</row>
    <row r="100" spans="1:36" x14ac:dyDescent="0.25">
      <c r="A100">
        <v>4109</v>
      </c>
      <c r="B100" t="s">
        <v>79</v>
      </c>
      <c r="C100">
        <v>0</v>
      </c>
      <c r="D100">
        <v>0</v>
      </c>
      <c r="E100">
        <v>144</v>
      </c>
      <c r="F100">
        <v>0</v>
      </c>
      <c r="G100">
        <v>107</v>
      </c>
      <c r="H100">
        <v>0</v>
      </c>
      <c r="I100">
        <v>0</v>
      </c>
      <c r="J100" t="s">
        <v>80</v>
      </c>
      <c r="K100" t="s">
        <v>82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500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</row>
    <row r="101" spans="1:36" x14ac:dyDescent="0.25">
      <c r="A101">
        <v>4110</v>
      </c>
      <c r="B101" t="s">
        <v>79</v>
      </c>
      <c r="C101">
        <v>0</v>
      </c>
      <c r="D101">
        <v>0</v>
      </c>
      <c r="E101">
        <v>171</v>
      </c>
      <c r="F101">
        <v>0</v>
      </c>
      <c r="G101">
        <v>127</v>
      </c>
      <c r="H101">
        <v>0</v>
      </c>
      <c r="I101">
        <v>0</v>
      </c>
      <c r="J101" t="s">
        <v>80</v>
      </c>
      <c r="K101" t="s">
        <v>82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500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</row>
    <row r="102" spans="1:36" x14ac:dyDescent="0.25">
      <c r="A102">
        <v>4111</v>
      </c>
      <c r="B102" t="s">
        <v>79</v>
      </c>
      <c r="C102">
        <v>0</v>
      </c>
      <c r="D102">
        <v>0</v>
      </c>
      <c r="E102">
        <v>201</v>
      </c>
      <c r="F102">
        <v>0</v>
      </c>
      <c r="G102">
        <v>149</v>
      </c>
      <c r="H102">
        <v>0</v>
      </c>
      <c r="I102">
        <v>0</v>
      </c>
      <c r="J102" t="s">
        <v>80</v>
      </c>
      <c r="K102" t="s">
        <v>82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500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</row>
    <row r="103" spans="1:36" x14ac:dyDescent="0.25">
      <c r="A103">
        <v>4112</v>
      </c>
      <c r="B103" t="s">
        <v>79</v>
      </c>
      <c r="C103">
        <v>0</v>
      </c>
      <c r="D103">
        <v>0</v>
      </c>
      <c r="E103">
        <v>231</v>
      </c>
      <c r="F103">
        <v>0</v>
      </c>
      <c r="G103">
        <v>171</v>
      </c>
      <c r="H103">
        <v>0</v>
      </c>
      <c r="I103">
        <v>0</v>
      </c>
      <c r="J103" t="s">
        <v>80</v>
      </c>
      <c r="K103" t="s">
        <v>82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500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</row>
    <row r="104" spans="1:36" x14ac:dyDescent="0.25">
      <c r="A104">
        <v>4113</v>
      </c>
      <c r="B104" t="s">
        <v>79</v>
      </c>
      <c r="C104">
        <v>0</v>
      </c>
      <c r="D104">
        <v>0</v>
      </c>
      <c r="E104">
        <v>263</v>
      </c>
      <c r="F104">
        <v>0</v>
      </c>
      <c r="G104">
        <v>195</v>
      </c>
      <c r="H104">
        <v>0</v>
      </c>
      <c r="I104">
        <v>0</v>
      </c>
      <c r="J104" t="s">
        <v>80</v>
      </c>
      <c r="K104" t="s">
        <v>82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500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</row>
    <row r="105" spans="1:36" x14ac:dyDescent="0.25">
      <c r="A105">
        <v>4114</v>
      </c>
      <c r="B105" t="s">
        <v>79</v>
      </c>
      <c r="C105">
        <v>0</v>
      </c>
      <c r="D105">
        <v>0</v>
      </c>
      <c r="E105">
        <v>297</v>
      </c>
      <c r="F105">
        <v>0</v>
      </c>
      <c r="G105">
        <v>220</v>
      </c>
      <c r="H105">
        <v>0</v>
      </c>
      <c r="I105">
        <v>0</v>
      </c>
      <c r="J105" t="s">
        <v>80</v>
      </c>
      <c r="K105" t="s">
        <v>82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500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</row>
    <row r="106" spans="1:36" x14ac:dyDescent="0.25">
      <c r="A106">
        <v>5000</v>
      </c>
      <c r="B106" t="s">
        <v>73</v>
      </c>
      <c r="C106">
        <v>0</v>
      </c>
      <c r="D106">
        <v>0</v>
      </c>
      <c r="E106" s="5">
        <v>40</v>
      </c>
      <c r="F106">
        <v>0</v>
      </c>
      <c r="G106" s="5">
        <v>0</v>
      </c>
      <c r="H106">
        <v>0</v>
      </c>
      <c r="I106">
        <v>0</v>
      </c>
      <c r="J106" t="s">
        <v>74</v>
      </c>
      <c r="K106" t="s">
        <v>75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</row>
    <row r="107" spans="1:36" x14ac:dyDescent="0.25">
      <c r="A107">
        <v>5001</v>
      </c>
      <c r="B107" t="s">
        <v>73</v>
      </c>
      <c r="C107">
        <v>0</v>
      </c>
      <c r="D107">
        <v>0</v>
      </c>
      <c r="E107">
        <v>13</v>
      </c>
      <c r="F107">
        <v>0</v>
      </c>
      <c r="G107">
        <v>6</v>
      </c>
      <c r="H107">
        <v>0</v>
      </c>
      <c r="I107">
        <v>0</v>
      </c>
      <c r="J107" t="s">
        <v>74</v>
      </c>
      <c r="K107" t="s">
        <v>75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</row>
    <row r="108" spans="1:36" x14ac:dyDescent="0.25">
      <c r="A108">
        <v>5002</v>
      </c>
      <c r="B108" t="s">
        <v>73</v>
      </c>
      <c r="C108">
        <v>0</v>
      </c>
      <c r="D108">
        <v>0</v>
      </c>
      <c r="E108">
        <v>21</v>
      </c>
      <c r="F108">
        <v>0</v>
      </c>
      <c r="G108">
        <v>10</v>
      </c>
      <c r="H108">
        <v>0</v>
      </c>
      <c r="I108">
        <v>0</v>
      </c>
      <c r="J108" t="s">
        <v>74</v>
      </c>
      <c r="K108" t="s">
        <v>76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</row>
    <row r="109" spans="1:36" x14ac:dyDescent="0.25">
      <c r="A109">
        <v>5003</v>
      </c>
      <c r="B109" t="s">
        <v>73</v>
      </c>
      <c r="C109">
        <v>0</v>
      </c>
      <c r="D109">
        <v>0</v>
      </c>
      <c r="E109">
        <v>31</v>
      </c>
      <c r="F109">
        <v>0</v>
      </c>
      <c r="G109">
        <v>14</v>
      </c>
      <c r="H109">
        <v>0</v>
      </c>
      <c r="I109">
        <v>0</v>
      </c>
      <c r="J109" t="s">
        <v>74</v>
      </c>
      <c r="K109" t="s">
        <v>76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</row>
    <row r="110" spans="1:36" x14ac:dyDescent="0.25">
      <c r="A110">
        <v>5004</v>
      </c>
      <c r="B110" t="s">
        <v>73</v>
      </c>
      <c r="C110">
        <v>0</v>
      </c>
      <c r="D110">
        <v>0</v>
      </c>
      <c r="E110">
        <v>42</v>
      </c>
      <c r="F110">
        <v>0</v>
      </c>
      <c r="G110">
        <v>20</v>
      </c>
      <c r="H110">
        <v>0</v>
      </c>
      <c r="I110">
        <v>0</v>
      </c>
      <c r="J110" t="s">
        <v>74</v>
      </c>
      <c r="K110" t="s">
        <v>77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</row>
    <row r="111" spans="1:36" x14ac:dyDescent="0.25">
      <c r="A111">
        <v>5005</v>
      </c>
      <c r="B111" t="s">
        <v>73</v>
      </c>
      <c r="C111">
        <v>0</v>
      </c>
      <c r="D111">
        <v>0</v>
      </c>
      <c r="E111">
        <v>58</v>
      </c>
      <c r="F111">
        <v>0</v>
      </c>
      <c r="G111">
        <v>27</v>
      </c>
      <c r="H111">
        <v>0</v>
      </c>
      <c r="I111">
        <v>0</v>
      </c>
      <c r="J111" t="s">
        <v>74</v>
      </c>
      <c r="K111" t="s">
        <v>78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</row>
    <row r="112" spans="1:36" x14ac:dyDescent="0.25">
      <c r="A112">
        <v>5006</v>
      </c>
      <c r="B112" t="s">
        <v>79</v>
      </c>
      <c r="C112">
        <v>0</v>
      </c>
      <c r="D112">
        <v>0</v>
      </c>
      <c r="E112">
        <v>80</v>
      </c>
      <c r="F112">
        <v>0</v>
      </c>
      <c r="G112">
        <v>38</v>
      </c>
      <c r="H112">
        <v>0</v>
      </c>
      <c r="I112">
        <v>0</v>
      </c>
      <c r="J112" t="s">
        <v>80</v>
      </c>
      <c r="K112" t="s">
        <v>81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</row>
    <row r="113" spans="1:36" x14ac:dyDescent="0.25">
      <c r="A113">
        <v>5007</v>
      </c>
      <c r="B113" t="s">
        <v>79</v>
      </c>
      <c r="C113">
        <v>0</v>
      </c>
      <c r="D113">
        <v>0</v>
      </c>
      <c r="E113">
        <v>105</v>
      </c>
      <c r="F113">
        <v>0</v>
      </c>
      <c r="G113">
        <v>49</v>
      </c>
      <c r="H113">
        <v>0</v>
      </c>
      <c r="I113">
        <v>0</v>
      </c>
      <c r="J113" t="s">
        <v>80</v>
      </c>
      <c r="K113" t="s">
        <v>82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</row>
    <row r="114" spans="1:36" x14ac:dyDescent="0.25">
      <c r="A114">
        <v>5008</v>
      </c>
      <c r="B114" t="s">
        <v>79</v>
      </c>
      <c r="C114">
        <v>0</v>
      </c>
      <c r="D114">
        <v>0</v>
      </c>
      <c r="E114">
        <v>132</v>
      </c>
      <c r="F114">
        <v>0</v>
      </c>
      <c r="G114">
        <v>61</v>
      </c>
      <c r="H114">
        <v>0</v>
      </c>
      <c r="I114">
        <v>0</v>
      </c>
      <c r="J114" t="s">
        <v>80</v>
      </c>
      <c r="K114" t="s">
        <v>82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</row>
    <row r="115" spans="1:36" x14ac:dyDescent="0.25">
      <c r="A115">
        <v>5009</v>
      </c>
      <c r="B115" t="s">
        <v>79</v>
      </c>
      <c r="C115">
        <v>0</v>
      </c>
      <c r="D115">
        <v>0</v>
      </c>
      <c r="E115">
        <v>160</v>
      </c>
      <c r="F115">
        <v>0</v>
      </c>
      <c r="G115">
        <v>75</v>
      </c>
      <c r="H115">
        <v>0</v>
      </c>
      <c r="I115">
        <v>0</v>
      </c>
      <c r="J115" t="s">
        <v>80</v>
      </c>
      <c r="K115" t="s">
        <v>82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</row>
    <row r="116" spans="1:36" x14ac:dyDescent="0.25">
      <c r="A116">
        <v>5010</v>
      </c>
      <c r="B116" t="s">
        <v>79</v>
      </c>
      <c r="C116">
        <v>0</v>
      </c>
      <c r="D116">
        <v>0</v>
      </c>
      <c r="E116">
        <v>191</v>
      </c>
      <c r="F116">
        <v>0</v>
      </c>
      <c r="G116">
        <v>89</v>
      </c>
      <c r="H116">
        <v>0</v>
      </c>
      <c r="I116">
        <v>0</v>
      </c>
      <c r="J116" t="s">
        <v>80</v>
      </c>
      <c r="K116" t="s">
        <v>82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</row>
    <row r="117" spans="1:36" x14ac:dyDescent="0.25">
      <c r="A117">
        <v>5011</v>
      </c>
      <c r="B117" t="s">
        <v>79</v>
      </c>
      <c r="C117">
        <v>0</v>
      </c>
      <c r="D117">
        <v>0</v>
      </c>
      <c r="E117">
        <v>223</v>
      </c>
      <c r="F117">
        <v>0</v>
      </c>
      <c r="G117">
        <v>104</v>
      </c>
      <c r="H117">
        <v>0</v>
      </c>
      <c r="I117">
        <v>0</v>
      </c>
      <c r="J117" t="s">
        <v>80</v>
      </c>
      <c r="K117" t="s">
        <v>82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</row>
    <row r="118" spans="1:36" x14ac:dyDescent="0.25">
      <c r="A118">
        <v>5012</v>
      </c>
      <c r="B118" t="s">
        <v>79</v>
      </c>
      <c r="C118">
        <v>0</v>
      </c>
      <c r="D118">
        <v>0</v>
      </c>
      <c r="E118">
        <v>257</v>
      </c>
      <c r="F118">
        <v>0</v>
      </c>
      <c r="G118">
        <v>120</v>
      </c>
      <c r="H118">
        <v>0</v>
      </c>
      <c r="I118">
        <v>0</v>
      </c>
      <c r="J118" t="s">
        <v>80</v>
      </c>
      <c r="K118" t="s">
        <v>82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</row>
    <row r="119" spans="1:36" x14ac:dyDescent="0.25">
      <c r="A119">
        <v>5013</v>
      </c>
      <c r="B119" t="s">
        <v>79</v>
      </c>
      <c r="C119">
        <v>0</v>
      </c>
      <c r="D119">
        <v>0</v>
      </c>
      <c r="E119">
        <v>293</v>
      </c>
      <c r="F119">
        <v>0</v>
      </c>
      <c r="G119">
        <v>137</v>
      </c>
      <c r="H119">
        <v>0</v>
      </c>
      <c r="I119">
        <v>0</v>
      </c>
      <c r="J119" t="s">
        <v>80</v>
      </c>
      <c r="K119" t="s">
        <v>82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</row>
    <row r="120" spans="1:36" x14ac:dyDescent="0.25">
      <c r="A120">
        <v>5014</v>
      </c>
      <c r="B120" t="s">
        <v>79</v>
      </c>
      <c r="C120">
        <v>0</v>
      </c>
      <c r="D120">
        <v>0</v>
      </c>
      <c r="E120">
        <v>330</v>
      </c>
      <c r="F120">
        <v>0</v>
      </c>
      <c r="G120">
        <v>154</v>
      </c>
      <c r="H120">
        <v>0</v>
      </c>
      <c r="I120">
        <v>0</v>
      </c>
      <c r="J120" t="s">
        <v>80</v>
      </c>
      <c r="K120" t="s">
        <v>82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</row>
    <row r="121" spans="1:36" x14ac:dyDescent="0.25">
      <c r="A121">
        <v>5104</v>
      </c>
      <c r="B121" t="s">
        <v>73</v>
      </c>
      <c r="C121">
        <v>0</v>
      </c>
      <c r="D121">
        <v>0</v>
      </c>
      <c r="E121">
        <v>42</v>
      </c>
      <c r="F121">
        <v>0</v>
      </c>
      <c r="G121">
        <v>20</v>
      </c>
      <c r="H121">
        <v>0</v>
      </c>
      <c r="I121">
        <v>0</v>
      </c>
      <c r="J121" t="s">
        <v>74</v>
      </c>
      <c r="K121" t="s">
        <v>77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500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</row>
    <row r="122" spans="1:36" x14ac:dyDescent="0.25">
      <c r="A122">
        <v>5105</v>
      </c>
      <c r="B122" t="s">
        <v>73</v>
      </c>
      <c r="C122">
        <v>0</v>
      </c>
      <c r="D122">
        <v>0</v>
      </c>
      <c r="E122">
        <v>58</v>
      </c>
      <c r="F122">
        <v>0</v>
      </c>
      <c r="G122">
        <v>27</v>
      </c>
      <c r="H122">
        <v>0</v>
      </c>
      <c r="I122">
        <v>0</v>
      </c>
      <c r="J122" t="s">
        <v>74</v>
      </c>
      <c r="K122" t="s">
        <v>78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500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</row>
    <row r="123" spans="1:36" x14ac:dyDescent="0.25">
      <c r="A123">
        <v>5106</v>
      </c>
      <c r="B123" t="s">
        <v>79</v>
      </c>
      <c r="C123">
        <v>0</v>
      </c>
      <c r="D123">
        <v>0</v>
      </c>
      <c r="E123">
        <v>80</v>
      </c>
      <c r="F123">
        <v>0</v>
      </c>
      <c r="G123">
        <v>38</v>
      </c>
      <c r="H123">
        <v>0</v>
      </c>
      <c r="I123">
        <v>0</v>
      </c>
      <c r="J123" t="s">
        <v>80</v>
      </c>
      <c r="K123" t="s">
        <v>81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500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</row>
    <row r="124" spans="1:36" x14ac:dyDescent="0.25">
      <c r="A124">
        <v>5107</v>
      </c>
      <c r="B124" t="s">
        <v>79</v>
      </c>
      <c r="C124">
        <v>0</v>
      </c>
      <c r="D124">
        <v>0</v>
      </c>
      <c r="E124">
        <v>105</v>
      </c>
      <c r="F124">
        <v>0</v>
      </c>
      <c r="G124">
        <v>49</v>
      </c>
      <c r="H124">
        <v>0</v>
      </c>
      <c r="I124">
        <v>0</v>
      </c>
      <c r="J124" t="s">
        <v>80</v>
      </c>
      <c r="K124" t="s">
        <v>82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500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</row>
    <row r="125" spans="1:36" x14ac:dyDescent="0.25">
      <c r="A125">
        <v>5108</v>
      </c>
      <c r="B125" t="s">
        <v>79</v>
      </c>
      <c r="C125">
        <v>0</v>
      </c>
      <c r="D125">
        <v>0</v>
      </c>
      <c r="E125">
        <v>132</v>
      </c>
      <c r="F125">
        <v>0</v>
      </c>
      <c r="G125">
        <v>61</v>
      </c>
      <c r="H125">
        <v>0</v>
      </c>
      <c r="I125">
        <v>0</v>
      </c>
      <c r="J125" t="s">
        <v>80</v>
      </c>
      <c r="K125" t="s">
        <v>82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500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</row>
    <row r="126" spans="1:36" x14ac:dyDescent="0.25">
      <c r="A126">
        <v>5109</v>
      </c>
      <c r="B126" t="s">
        <v>79</v>
      </c>
      <c r="C126">
        <v>0</v>
      </c>
      <c r="D126">
        <v>0</v>
      </c>
      <c r="E126">
        <v>160</v>
      </c>
      <c r="F126">
        <v>0</v>
      </c>
      <c r="G126">
        <v>75</v>
      </c>
      <c r="H126">
        <v>0</v>
      </c>
      <c r="I126">
        <v>0</v>
      </c>
      <c r="J126" t="s">
        <v>80</v>
      </c>
      <c r="K126" t="s">
        <v>82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500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</row>
    <row r="127" spans="1:36" x14ac:dyDescent="0.25">
      <c r="A127">
        <v>5110</v>
      </c>
      <c r="B127" t="s">
        <v>79</v>
      </c>
      <c r="C127">
        <v>0</v>
      </c>
      <c r="D127">
        <v>0</v>
      </c>
      <c r="E127">
        <v>191</v>
      </c>
      <c r="F127">
        <v>0</v>
      </c>
      <c r="G127">
        <v>89</v>
      </c>
      <c r="H127">
        <v>0</v>
      </c>
      <c r="I127">
        <v>0</v>
      </c>
      <c r="J127" t="s">
        <v>80</v>
      </c>
      <c r="K127" t="s">
        <v>82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500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</row>
    <row r="128" spans="1:36" x14ac:dyDescent="0.25">
      <c r="A128">
        <v>5111</v>
      </c>
      <c r="B128" t="s">
        <v>79</v>
      </c>
      <c r="C128">
        <v>0</v>
      </c>
      <c r="D128">
        <v>0</v>
      </c>
      <c r="E128">
        <v>223</v>
      </c>
      <c r="F128">
        <v>0</v>
      </c>
      <c r="G128">
        <v>104</v>
      </c>
      <c r="H128">
        <v>0</v>
      </c>
      <c r="I128">
        <v>0</v>
      </c>
      <c r="J128" t="s">
        <v>80</v>
      </c>
      <c r="K128" t="s">
        <v>82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500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</row>
    <row r="129" spans="1:36" x14ac:dyDescent="0.25">
      <c r="A129">
        <v>5112</v>
      </c>
      <c r="B129" t="s">
        <v>79</v>
      </c>
      <c r="C129">
        <v>0</v>
      </c>
      <c r="D129">
        <v>0</v>
      </c>
      <c r="E129">
        <v>257</v>
      </c>
      <c r="F129">
        <v>0</v>
      </c>
      <c r="G129">
        <v>120</v>
      </c>
      <c r="H129">
        <v>0</v>
      </c>
      <c r="I129">
        <v>0</v>
      </c>
      <c r="J129" t="s">
        <v>80</v>
      </c>
      <c r="K129" t="s">
        <v>82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500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</row>
    <row r="130" spans="1:36" x14ac:dyDescent="0.25">
      <c r="A130">
        <v>5113</v>
      </c>
      <c r="B130" t="s">
        <v>79</v>
      </c>
      <c r="C130">
        <v>0</v>
      </c>
      <c r="D130">
        <v>0</v>
      </c>
      <c r="E130">
        <v>293</v>
      </c>
      <c r="F130">
        <v>0</v>
      </c>
      <c r="G130">
        <v>137</v>
      </c>
      <c r="H130">
        <v>0</v>
      </c>
      <c r="I130">
        <v>0</v>
      </c>
      <c r="J130" t="s">
        <v>80</v>
      </c>
      <c r="K130" t="s">
        <v>82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500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</row>
    <row r="131" spans="1:36" x14ac:dyDescent="0.25">
      <c r="A131">
        <v>5114</v>
      </c>
      <c r="B131" t="s">
        <v>79</v>
      </c>
      <c r="C131">
        <v>0</v>
      </c>
      <c r="D131">
        <v>0</v>
      </c>
      <c r="E131">
        <v>330</v>
      </c>
      <c r="F131">
        <v>0</v>
      </c>
      <c r="G131">
        <v>154</v>
      </c>
      <c r="H131">
        <v>0</v>
      </c>
      <c r="I131">
        <v>0</v>
      </c>
      <c r="J131" t="s">
        <v>80</v>
      </c>
      <c r="K131" t="s">
        <v>82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500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</row>
    <row r="132" spans="1:36" x14ac:dyDescent="0.25">
      <c r="A132">
        <v>6000</v>
      </c>
      <c r="B132" t="s">
        <v>73</v>
      </c>
      <c r="C132">
        <v>0</v>
      </c>
      <c r="D132">
        <v>0</v>
      </c>
      <c r="E132" s="5">
        <v>40</v>
      </c>
      <c r="F132">
        <v>0</v>
      </c>
      <c r="G132" s="5">
        <v>0</v>
      </c>
      <c r="H132">
        <v>0</v>
      </c>
      <c r="I132">
        <v>0</v>
      </c>
      <c r="J132" t="s">
        <v>74</v>
      </c>
      <c r="K132" t="s">
        <v>75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</row>
    <row r="133" spans="1:36" x14ac:dyDescent="0.25">
      <c r="A133">
        <v>6001</v>
      </c>
      <c r="B133" t="s">
        <v>73</v>
      </c>
      <c r="C133">
        <v>0</v>
      </c>
      <c r="D133">
        <v>0</v>
      </c>
      <c r="E133">
        <v>13</v>
      </c>
      <c r="F133">
        <v>0</v>
      </c>
      <c r="G133">
        <v>6</v>
      </c>
      <c r="H133">
        <v>0</v>
      </c>
      <c r="I133">
        <v>0</v>
      </c>
      <c r="J133" t="s">
        <v>74</v>
      </c>
      <c r="K133" t="s">
        <v>75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</row>
    <row r="134" spans="1:36" x14ac:dyDescent="0.25">
      <c r="A134">
        <v>6002</v>
      </c>
      <c r="B134" t="s">
        <v>73</v>
      </c>
      <c r="C134">
        <v>0</v>
      </c>
      <c r="D134">
        <v>0</v>
      </c>
      <c r="E134">
        <v>21</v>
      </c>
      <c r="F134">
        <v>0</v>
      </c>
      <c r="G134">
        <v>10</v>
      </c>
      <c r="H134">
        <v>0</v>
      </c>
      <c r="I134">
        <v>0</v>
      </c>
      <c r="J134" t="s">
        <v>74</v>
      </c>
      <c r="K134" t="s">
        <v>76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</row>
    <row r="135" spans="1:36" x14ac:dyDescent="0.25">
      <c r="A135">
        <v>6003</v>
      </c>
      <c r="B135" t="s">
        <v>73</v>
      </c>
      <c r="C135">
        <v>0</v>
      </c>
      <c r="D135">
        <v>0</v>
      </c>
      <c r="E135">
        <v>31</v>
      </c>
      <c r="F135">
        <v>0</v>
      </c>
      <c r="G135">
        <v>14</v>
      </c>
      <c r="H135">
        <v>0</v>
      </c>
      <c r="I135">
        <v>0</v>
      </c>
      <c r="J135" t="s">
        <v>74</v>
      </c>
      <c r="K135" t="s">
        <v>76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</row>
    <row r="136" spans="1:36" x14ac:dyDescent="0.25">
      <c r="A136">
        <v>6004</v>
      </c>
      <c r="B136" t="s">
        <v>73</v>
      </c>
      <c r="C136">
        <v>0</v>
      </c>
      <c r="D136">
        <v>0</v>
      </c>
      <c r="E136">
        <v>42</v>
      </c>
      <c r="F136">
        <v>0</v>
      </c>
      <c r="G136">
        <v>20</v>
      </c>
      <c r="H136">
        <v>0</v>
      </c>
      <c r="I136">
        <v>0</v>
      </c>
      <c r="J136" t="s">
        <v>74</v>
      </c>
      <c r="K136" t="s">
        <v>77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</row>
    <row r="137" spans="1:36" x14ac:dyDescent="0.25">
      <c r="A137">
        <v>6005</v>
      </c>
      <c r="B137" t="s">
        <v>73</v>
      </c>
      <c r="C137">
        <v>0</v>
      </c>
      <c r="D137">
        <v>0</v>
      </c>
      <c r="E137">
        <v>58</v>
      </c>
      <c r="F137">
        <v>0</v>
      </c>
      <c r="G137">
        <v>27</v>
      </c>
      <c r="H137">
        <v>0</v>
      </c>
      <c r="I137">
        <v>0</v>
      </c>
      <c r="J137" t="s">
        <v>74</v>
      </c>
      <c r="K137" t="s">
        <v>78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</row>
    <row r="138" spans="1:36" x14ac:dyDescent="0.25">
      <c r="A138">
        <v>6006</v>
      </c>
      <c r="B138" t="s">
        <v>79</v>
      </c>
      <c r="C138">
        <v>0</v>
      </c>
      <c r="D138">
        <v>0</v>
      </c>
      <c r="E138">
        <v>80</v>
      </c>
      <c r="F138">
        <v>0</v>
      </c>
      <c r="G138">
        <v>38</v>
      </c>
      <c r="H138">
        <v>0</v>
      </c>
      <c r="I138">
        <v>0</v>
      </c>
      <c r="J138" t="s">
        <v>80</v>
      </c>
      <c r="K138" t="s">
        <v>81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</row>
    <row r="139" spans="1:36" x14ac:dyDescent="0.25">
      <c r="A139">
        <v>6007</v>
      </c>
      <c r="B139" t="s">
        <v>79</v>
      </c>
      <c r="C139">
        <v>0</v>
      </c>
      <c r="D139">
        <v>0</v>
      </c>
      <c r="E139">
        <v>105</v>
      </c>
      <c r="F139">
        <v>0</v>
      </c>
      <c r="G139">
        <v>49</v>
      </c>
      <c r="H139">
        <v>0</v>
      </c>
      <c r="I139">
        <v>0</v>
      </c>
      <c r="J139" t="s">
        <v>80</v>
      </c>
      <c r="K139" t="s">
        <v>82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</row>
    <row r="140" spans="1:36" x14ac:dyDescent="0.25">
      <c r="A140">
        <v>6008</v>
      </c>
      <c r="B140" t="s">
        <v>79</v>
      </c>
      <c r="C140">
        <v>0</v>
      </c>
      <c r="D140">
        <v>0</v>
      </c>
      <c r="E140">
        <v>132</v>
      </c>
      <c r="F140">
        <v>0</v>
      </c>
      <c r="G140">
        <v>61</v>
      </c>
      <c r="H140">
        <v>0</v>
      </c>
      <c r="I140">
        <v>0</v>
      </c>
      <c r="J140" t="s">
        <v>80</v>
      </c>
      <c r="K140" t="s">
        <v>82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</row>
    <row r="141" spans="1:36" x14ac:dyDescent="0.25">
      <c r="A141">
        <v>6009</v>
      </c>
      <c r="B141" t="s">
        <v>79</v>
      </c>
      <c r="C141">
        <v>0</v>
      </c>
      <c r="D141">
        <v>0</v>
      </c>
      <c r="E141">
        <v>160</v>
      </c>
      <c r="F141">
        <v>0</v>
      </c>
      <c r="G141">
        <v>75</v>
      </c>
      <c r="H141">
        <v>0</v>
      </c>
      <c r="I141">
        <v>0</v>
      </c>
      <c r="J141" t="s">
        <v>80</v>
      </c>
      <c r="K141" t="s">
        <v>82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</row>
    <row r="142" spans="1:36" x14ac:dyDescent="0.25">
      <c r="A142">
        <v>6010</v>
      </c>
      <c r="B142" t="s">
        <v>79</v>
      </c>
      <c r="C142">
        <v>0</v>
      </c>
      <c r="D142">
        <v>0</v>
      </c>
      <c r="E142">
        <v>191</v>
      </c>
      <c r="F142">
        <v>0</v>
      </c>
      <c r="G142">
        <v>89</v>
      </c>
      <c r="H142">
        <v>0</v>
      </c>
      <c r="I142">
        <v>0</v>
      </c>
      <c r="J142" t="s">
        <v>80</v>
      </c>
      <c r="K142" t="s">
        <v>82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</row>
    <row r="143" spans="1:36" x14ac:dyDescent="0.25">
      <c r="A143">
        <v>6011</v>
      </c>
      <c r="B143" t="s">
        <v>79</v>
      </c>
      <c r="C143">
        <v>0</v>
      </c>
      <c r="D143">
        <v>0</v>
      </c>
      <c r="E143">
        <v>223</v>
      </c>
      <c r="F143">
        <v>0</v>
      </c>
      <c r="G143">
        <v>104</v>
      </c>
      <c r="H143">
        <v>0</v>
      </c>
      <c r="I143">
        <v>0</v>
      </c>
      <c r="J143" t="s">
        <v>80</v>
      </c>
      <c r="K143" t="s">
        <v>82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</row>
    <row r="144" spans="1:36" x14ac:dyDescent="0.25">
      <c r="A144">
        <v>6012</v>
      </c>
      <c r="B144" t="s">
        <v>79</v>
      </c>
      <c r="C144">
        <v>0</v>
      </c>
      <c r="D144">
        <v>0</v>
      </c>
      <c r="E144">
        <v>257</v>
      </c>
      <c r="F144">
        <v>0</v>
      </c>
      <c r="G144">
        <v>120</v>
      </c>
      <c r="H144">
        <v>0</v>
      </c>
      <c r="I144">
        <v>0</v>
      </c>
      <c r="J144" t="s">
        <v>80</v>
      </c>
      <c r="K144" t="s">
        <v>82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</row>
    <row r="145" spans="1:36" x14ac:dyDescent="0.25">
      <c r="A145">
        <v>6013</v>
      </c>
      <c r="B145" t="s">
        <v>79</v>
      </c>
      <c r="C145">
        <v>0</v>
      </c>
      <c r="D145">
        <v>0</v>
      </c>
      <c r="E145">
        <v>293</v>
      </c>
      <c r="F145">
        <v>0</v>
      </c>
      <c r="G145">
        <v>137</v>
      </c>
      <c r="H145">
        <v>0</v>
      </c>
      <c r="I145">
        <v>0</v>
      </c>
      <c r="J145" t="s">
        <v>80</v>
      </c>
      <c r="K145" t="s">
        <v>82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</row>
    <row r="146" spans="1:36" x14ac:dyDescent="0.25">
      <c r="A146">
        <v>6014</v>
      </c>
      <c r="B146" t="s">
        <v>79</v>
      </c>
      <c r="C146">
        <v>0</v>
      </c>
      <c r="D146">
        <v>0</v>
      </c>
      <c r="E146">
        <v>330</v>
      </c>
      <c r="F146">
        <v>0</v>
      </c>
      <c r="G146">
        <v>154</v>
      </c>
      <c r="H146">
        <v>0</v>
      </c>
      <c r="I146">
        <v>0</v>
      </c>
      <c r="J146" t="s">
        <v>80</v>
      </c>
      <c r="K146" t="s">
        <v>82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</row>
    <row r="147" spans="1:36" x14ac:dyDescent="0.25">
      <c r="A147">
        <v>6104</v>
      </c>
      <c r="B147" t="s">
        <v>73</v>
      </c>
      <c r="C147">
        <v>0</v>
      </c>
      <c r="D147">
        <v>0</v>
      </c>
      <c r="E147">
        <v>42</v>
      </c>
      <c r="F147">
        <v>0</v>
      </c>
      <c r="G147">
        <v>20</v>
      </c>
      <c r="H147">
        <v>0</v>
      </c>
      <c r="I147">
        <v>0</v>
      </c>
      <c r="J147" t="s">
        <v>74</v>
      </c>
      <c r="K147" t="s">
        <v>77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500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</row>
    <row r="148" spans="1:36" x14ac:dyDescent="0.25">
      <c r="A148">
        <v>6105</v>
      </c>
      <c r="B148" t="s">
        <v>73</v>
      </c>
      <c r="C148">
        <v>0</v>
      </c>
      <c r="D148">
        <v>0</v>
      </c>
      <c r="E148">
        <v>58</v>
      </c>
      <c r="F148">
        <v>0</v>
      </c>
      <c r="G148">
        <v>27</v>
      </c>
      <c r="H148">
        <v>0</v>
      </c>
      <c r="I148">
        <v>0</v>
      </c>
      <c r="J148" t="s">
        <v>74</v>
      </c>
      <c r="K148" t="s">
        <v>78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500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</row>
    <row r="149" spans="1:36" x14ac:dyDescent="0.25">
      <c r="A149">
        <v>6106</v>
      </c>
      <c r="B149" t="s">
        <v>79</v>
      </c>
      <c r="C149">
        <v>0</v>
      </c>
      <c r="D149">
        <v>0</v>
      </c>
      <c r="E149">
        <v>80</v>
      </c>
      <c r="F149">
        <v>0</v>
      </c>
      <c r="G149">
        <v>38</v>
      </c>
      <c r="H149">
        <v>0</v>
      </c>
      <c r="I149">
        <v>0</v>
      </c>
      <c r="J149" t="s">
        <v>80</v>
      </c>
      <c r="K149" t="s">
        <v>81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500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</row>
    <row r="150" spans="1:36" x14ac:dyDescent="0.25">
      <c r="A150">
        <v>6107</v>
      </c>
      <c r="B150" t="s">
        <v>79</v>
      </c>
      <c r="C150">
        <v>0</v>
      </c>
      <c r="D150">
        <v>0</v>
      </c>
      <c r="E150">
        <v>105</v>
      </c>
      <c r="F150">
        <v>0</v>
      </c>
      <c r="G150">
        <v>49</v>
      </c>
      <c r="H150">
        <v>0</v>
      </c>
      <c r="I150">
        <v>0</v>
      </c>
      <c r="J150" t="s">
        <v>80</v>
      </c>
      <c r="K150" t="s">
        <v>82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500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</row>
    <row r="151" spans="1:36" x14ac:dyDescent="0.25">
      <c r="A151">
        <v>6108</v>
      </c>
      <c r="B151" t="s">
        <v>79</v>
      </c>
      <c r="C151">
        <v>0</v>
      </c>
      <c r="D151">
        <v>0</v>
      </c>
      <c r="E151">
        <v>132</v>
      </c>
      <c r="F151">
        <v>0</v>
      </c>
      <c r="G151">
        <v>61</v>
      </c>
      <c r="H151">
        <v>0</v>
      </c>
      <c r="I151">
        <v>0</v>
      </c>
      <c r="J151" t="s">
        <v>80</v>
      </c>
      <c r="K151" t="s">
        <v>82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500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</row>
    <row r="152" spans="1:36" x14ac:dyDescent="0.25">
      <c r="A152">
        <v>6109</v>
      </c>
      <c r="B152" t="s">
        <v>79</v>
      </c>
      <c r="C152">
        <v>0</v>
      </c>
      <c r="D152">
        <v>0</v>
      </c>
      <c r="E152">
        <v>160</v>
      </c>
      <c r="F152">
        <v>0</v>
      </c>
      <c r="G152">
        <v>75</v>
      </c>
      <c r="H152">
        <v>0</v>
      </c>
      <c r="I152">
        <v>0</v>
      </c>
      <c r="J152" t="s">
        <v>80</v>
      </c>
      <c r="K152" t="s">
        <v>82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500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</row>
    <row r="153" spans="1:36" x14ac:dyDescent="0.25">
      <c r="A153">
        <v>6110</v>
      </c>
      <c r="B153" t="s">
        <v>79</v>
      </c>
      <c r="C153">
        <v>0</v>
      </c>
      <c r="D153">
        <v>0</v>
      </c>
      <c r="E153">
        <v>191</v>
      </c>
      <c r="F153">
        <v>0</v>
      </c>
      <c r="G153">
        <v>89</v>
      </c>
      <c r="H153">
        <v>0</v>
      </c>
      <c r="I153">
        <v>0</v>
      </c>
      <c r="J153" t="s">
        <v>80</v>
      </c>
      <c r="K153" t="s">
        <v>82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500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</row>
    <row r="154" spans="1:36" x14ac:dyDescent="0.25">
      <c r="A154">
        <v>6111</v>
      </c>
      <c r="B154" t="s">
        <v>79</v>
      </c>
      <c r="C154">
        <v>0</v>
      </c>
      <c r="D154">
        <v>0</v>
      </c>
      <c r="E154">
        <v>223</v>
      </c>
      <c r="F154">
        <v>0</v>
      </c>
      <c r="G154">
        <v>104</v>
      </c>
      <c r="H154">
        <v>0</v>
      </c>
      <c r="I154">
        <v>0</v>
      </c>
      <c r="J154" t="s">
        <v>80</v>
      </c>
      <c r="K154" t="s">
        <v>82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500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</row>
    <row r="155" spans="1:36" x14ac:dyDescent="0.25">
      <c r="A155">
        <v>6112</v>
      </c>
      <c r="B155" t="s">
        <v>79</v>
      </c>
      <c r="C155">
        <v>0</v>
      </c>
      <c r="D155">
        <v>0</v>
      </c>
      <c r="E155">
        <v>257</v>
      </c>
      <c r="F155">
        <v>0</v>
      </c>
      <c r="G155">
        <v>120</v>
      </c>
      <c r="H155">
        <v>0</v>
      </c>
      <c r="I155">
        <v>0</v>
      </c>
      <c r="J155" t="s">
        <v>80</v>
      </c>
      <c r="K155" t="s">
        <v>82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500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</row>
    <row r="156" spans="1:36" x14ac:dyDescent="0.25">
      <c r="A156">
        <v>6113</v>
      </c>
      <c r="B156" t="s">
        <v>79</v>
      </c>
      <c r="C156">
        <v>0</v>
      </c>
      <c r="D156">
        <v>0</v>
      </c>
      <c r="E156">
        <v>293</v>
      </c>
      <c r="F156">
        <v>0</v>
      </c>
      <c r="G156">
        <v>137</v>
      </c>
      <c r="H156">
        <v>0</v>
      </c>
      <c r="I156">
        <v>0</v>
      </c>
      <c r="J156" t="s">
        <v>80</v>
      </c>
      <c r="K156" t="s">
        <v>82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500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</row>
    <row r="157" spans="1:36" x14ac:dyDescent="0.25">
      <c r="A157">
        <v>6114</v>
      </c>
      <c r="B157" t="s">
        <v>79</v>
      </c>
      <c r="C157">
        <v>0</v>
      </c>
      <c r="D157">
        <v>0</v>
      </c>
      <c r="E157">
        <v>330</v>
      </c>
      <c r="F157">
        <v>0</v>
      </c>
      <c r="G157">
        <v>154</v>
      </c>
      <c r="H157">
        <v>0</v>
      </c>
      <c r="I157">
        <v>0</v>
      </c>
      <c r="J157" t="s">
        <v>80</v>
      </c>
      <c r="K157" t="s">
        <v>82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500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</row>
    <row r="158" spans="1:36" x14ac:dyDescent="0.25">
      <c r="A158">
        <v>11100</v>
      </c>
      <c r="B158" t="s">
        <v>73</v>
      </c>
      <c r="C158">
        <v>0</v>
      </c>
      <c r="D158" s="5">
        <v>15</v>
      </c>
      <c r="E158">
        <v>0</v>
      </c>
      <c r="F158">
        <v>0</v>
      </c>
      <c r="G158">
        <v>0</v>
      </c>
      <c r="H158">
        <v>0</v>
      </c>
      <c r="I158">
        <v>0</v>
      </c>
      <c r="J158" t="s">
        <v>74</v>
      </c>
      <c r="K158" t="s">
        <v>75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</row>
    <row r="159" spans="1:36" x14ac:dyDescent="0.25">
      <c r="A159">
        <v>11101</v>
      </c>
      <c r="B159" t="s">
        <v>73</v>
      </c>
      <c r="C159">
        <v>0</v>
      </c>
      <c r="D159">
        <v>7</v>
      </c>
      <c r="E159">
        <v>0</v>
      </c>
      <c r="F159">
        <v>0</v>
      </c>
      <c r="G159">
        <v>0</v>
      </c>
      <c r="H159">
        <v>0</v>
      </c>
      <c r="I159">
        <v>0</v>
      </c>
      <c r="J159" t="s">
        <v>74</v>
      </c>
      <c r="K159" t="s">
        <v>75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</row>
    <row r="160" spans="1:36" x14ac:dyDescent="0.25">
      <c r="A160">
        <v>11102</v>
      </c>
      <c r="B160" t="s">
        <v>73</v>
      </c>
      <c r="C160">
        <v>0</v>
      </c>
      <c r="D160">
        <v>12</v>
      </c>
      <c r="E160">
        <v>0</v>
      </c>
      <c r="F160">
        <v>0</v>
      </c>
      <c r="G160">
        <v>0</v>
      </c>
      <c r="H160">
        <v>0</v>
      </c>
      <c r="I160">
        <v>0</v>
      </c>
      <c r="J160" t="s">
        <v>74</v>
      </c>
      <c r="K160" t="s">
        <v>76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</row>
    <row r="161" spans="1:36" x14ac:dyDescent="0.25">
      <c r="A161">
        <v>11103</v>
      </c>
      <c r="B161" t="s">
        <v>73</v>
      </c>
      <c r="C161">
        <v>0</v>
      </c>
      <c r="D161">
        <v>18</v>
      </c>
      <c r="E161">
        <v>0</v>
      </c>
      <c r="F161">
        <v>0</v>
      </c>
      <c r="G161">
        <v>0</v>
      </c>
      <c r="H161">
        <v>0</v>
      </c>
      <c r="I161">
        <v>0</v>
      </c>
      <c r="J161" t="s">
        <v>74</v>
      </c>
      <c r="K161" t="s">
        <v>76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</row>
    <row r="162" spans="1:36" x14ac:dyDescent="0.25">
      <c r="A162">
        <v>11104</v>
      </c>
      <c r="B162" t="s">
        <v>73</v>
      </c>
      <c r="C162">
        <v>0</v>
      </c>
      <c r="D162">
        <v>24</v>
      </c>
      <c r="E162">
        <v>0</v>
      </c>
      <c r="F162">
        <v>0</v>
      </c>
      <c r="G162">
        <v>0</v>
      </c>
      <c r="H162">
        <v>0</v>
      </c>
      <c r="I162">
        <v>0</v>
      </c>
      <c r="J162" t="s">
        <v>74</v>
      </c>
      <c r="K162" t="s">
        <v>77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</row>
    <row r="163" spans="1:36" x14ac:dyDescent="0.25">
      <c r="A163">
        <v>11105</v>
      </c>
      <c r="B163" t="s">
        <v>73</v>
      </c>
      <c r="C163">
        <v>0</v>
      </c>
      <c r="D163" s="5">
        <v>10</v>
      </c>
      <c r="E163">
        <v>0</v>
      </c>
      <c r="F163">
        <v>0</v>
      </c>
      <c r="G163">
        <v>0</v>
      </c>
      <c r="H163">
        <v>0</v>
      </c>
      <c r="I163">
        <v>0</v>
      </c>
      <c r="J163" t="s">
        <v>74</v>
      </c>
      <c r="K163" t="s">
        <v>78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</row>
    <row r="164" spans="1:36" x14ac:dyDescent="0.25">
      <c r="A164">
        <v>11106</v>
      </c>
      <c r="B164" t="s">
        <v>79</v>
      </c>
      <c r="C164">
        <v>0</v>
      </c>
      <c r="D164">
        <v>46</v>
      </c>
      <c r="E164">
        <v>0</v>
      </c>
      <c r="F164">
        <v>0</v>
      </c>
      <c r="G164">
        <v>0</v>
      </c>
      <c r="H164">
        <v>0</v>
      </c>
      <c r="I164">
        <v>0</v>
      </c>
      <c r="J164" t="s">
        <v>80</v>
      </c>
      <c r="K164" t="s">
        <v>81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</row>
    <row r="165" spans="1:36" x14ac:dyDescent="0.25">
      <c r="A165">
        <v>11107</v>
      </c>
      <c r="B165" t="s">
        <v>79</v>
      </c>
      <c r="C165">
        <v>0</v>
      </c>
      <c r="D165">
        <v>60</v>
      </c>
      <c r="E165">
        <v>0</v>
      </c>
      <c r="F165">
        <v>0</v>
      </c>
      <c r="G165">
        <v>0</v>
      </c>
      <c r="H165">
        <v>0</v>
      </c>
      <c r="I165">
        <v>0</v>
      </c>
      <c r="J165" t="s">
        <v>80</v>
      </c>
      <c r="K165" t="s">
        <v>82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</row>
    <row r="166" spans="1:36" x14ac:dyDescent="0.25">
      <c r="A166">
        <v>11108</v>
      </c>
      <c r="B166" t="s">
        <v>79</v>
      </c>
      <c r="C166">
        <v>0</v>
      </c>
      <c r="D166">
        <v>75</v>
      </c>
      <c r="E166">
        <v>0</v>
      </c>
      <c r="F166">
        <v>0</v>
      </c>
      <c r="G166">
        <v>0</v>
      </c>
      <c r="H166">
        <v>0</v>
      </c>
      <c r="I166">
        <v>0</v>
      </c>
      <c r="J166" t="s">
        <v>80</v>
      </c>
      <c r="K166" t="s">
        <v>82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</row>
    <row r="167" spans="1:36" x14ac:dyDescent="0.25">
      <c r="A167">
        <v>11109</v>
      </c>
      <c r="B167" t="s">
        <v>79</v>
      </c>
      <c r="C167">
        <v>0</v>
      </c>
      <c r="D167">
        <v>91</v>
      </c>
      <c r="E167">
        <v>0</v>
      </c>
      <c r="F167">
        <v>0</v>
      </c>
      <c r="G167">
        <v>0</v>
      </c>
      <c r="H167">
        <v>0</v>
      </c>
      <c r="I167">
        <v>0</v>
      </c>
      <c r="J167" t="s">
        <v>80</v>
      </c>
      <c r="K167" t="s">
        <v>82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</row>
    <row r="168" spans="1:36" x14ac:dyDescent="0.25">
      <c r="A168">
        <v>11110</v>
      </c>
      <c r="B168" t="s">
        <v>79</v>
      </c>
      <c r="C168">
        <v>0</v>
      </c>
      <c r="D168">
        <v>108</v>
      </c>
      <c r="E168">
        <v>0</v>
      </c>
      <c r="F168">
        <v>0</v>
      </c>
      <c r="G168">
        <v>0</v>
      </c>
      <c r="H168">
        <v>0</v>
      </c>
      <c r="I168">
        <v>0</v>
      </c>
      <c r="J168" t="s">
        <v>80</v>
      </c>
      <c r="K168" t="s">
        <v>82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</row>
    <row r="169" spans="1:36" x14ac:dyDescent="0.25">
      <c r="A169">
        <v>11111</v>
      </c>
      <c r="B169" t="s">
        <v>79</v>
      </c>
      <c r="C169">
        <v>0</v>
      </c>
      <c r="D169">
        <v>126</v>
      </c>
      <c r="E169">
        <v>0</v>
      </c>
      <c r="F169">
        <v>0</v>
      </c>
      <c r="G169">
        <v>0</v>
      </c>
      <c r="H169">
        <v>0</v>
      </c>
      <c r="I169">
        <v>0</v>
      </c>
      <c r="J169" t="s">
        <v>80</v>
      </c>
      <c r="K169" t="s">
        <v>82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</row>
    <row r="170" spans="1:36" x14ac:dyDescent="0.25">
      <c r="A170">
        <v>11112</v>
      </c>
      <c r="B170" t="s">
        <v>79</v>
      </c>
      <c r="C170">
        <v>0</v>
      </c>
      <c r="D170">
        <v>146</v>
      </c>
      <c r="E170">
        <v>0</v>
      </c>
      <c r="F170">
        <v>0</v>
      </c>
      <c r="G170">
        <v>0</v>
      </c>
      <c r="H170">
        <v>0</v>
      </c>
      <c r="I170">
        <v>0</v>
      </c>
      <c r="J170" t="s">
        <v>80</v>
      </c>
      <c r="K170" t="s">
        <v>82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</row>
    <row r="171" spans="1:36" x14ac:dyDescent="0.25">
      <c r="A171">
        <v>11113</v>
      </c>
      <c r="B171" t="s">
        <v>79</v>
      </c>
      <c r="C171">
        <v>0</v>
      </c>
      <c r="D171">
        <v>166</v>
      </c>
      <c r="E171">
        <v>0</v>
      </c>
      <c r="F171">
        <v>0</v>
      </c>
      <c r="G171">
        <v>0</v>
      </c>
      <c r="H171">
        <v>0</v>
      </c>
      <c r="I171">
        <v>0</v>
      </c>
      <c r="J171" t="s">
        <v>80</v>
      </c>
      <c r="K171" t="s">
        <v>82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</row>
    <row r="172" spans="1:36" x14ac:dyDescent="0.25">
      <c r="A172">
        <v>11114</v>
      </c>
      <c r="B172" t="s">
        <v>79</v>
      </c>
      <c r="C172">
        <v>0</v>
      </c>
      <c r="D172">
        <v>187</v>
      </c>
      <c r="E172">
        <v>0</v>
      </c>
      <c r="F172">
        <v>0</v>
      </c>
      <c r="G172">
        <v>0</v>
      </c>
      <c r="H172">
        <v>0</v>
      </c>
      <c r="I172">
        <v>0</v>
      </c>
      <c r="J172" t="s">
        <v>80</v>
      </c>
      <c r="K172" t="s">
        <v>82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</row>
    <row r="173" spans="1:36" x14ac:dyDescent="0.25">
      <c r="A173">
        <v>11200</v>
      </c>
      <c r="B173" t="s">
        <v>73</v>
      </c>
      <c r="C173">
        <v>0</v>
      </c>
      <c r="D173">
        <v>0</v>
      </c>
      <c r="E173" s="5">
        <v>15</v>
      </c>
      <c r="F173">
        <v>0</v>
      </c>
      <c r="G173">
        <v>0</v>
      </c>
      <c r="H173">
        <v>0</v>
      </c>
      <c r="I173">
        <v>0</v>
      </c>
      <c r="J173" t="s">
        <v>74</v>
      </c>
      <c r="K173" t="s">
        <v>75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</row>
    <row r="174" spans="1:36" x14ac:dyDescent="0.25">
      <c r="A174">
        <v>11201</v>
      </c>
      <c r="B174" t="s">
        <v>73</v>
      </c>
      <c r="C174">
        <v>0</v>
      </c>
      <c r="D174">
        <v>0</v>
      </c>
      <c r="E174">
        <v>7</v>
      </c>
      <c r="F174">
        <v>0</v>
      </c>
      <c r="G174">
        <v>0</v>
      </c>
      <c r="H174">
        <v>0</v>
      </c>
      <c r="I174">
        <v>0</v>
      </c>
      <c r="J174" t="s">
        <v>74</v>
      </c>
      <c r="K174" t="s">
        <v>75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</row>
    <row r="175" spans="1:36" x14ac:dyDescent="0.25">
      <c r="A175">
        <v>11202</v>
      </c>
      <c r="B175" t="s">
        <v>73</v>
      </c>
      <c r="C175">
        <v>0</v>
      </c>
      <c r="D175">
        <v>0</v>
      </c>
      <c r="E175">
        <v>12</v>
      </c>
      <c r="F175">
        <v>0</v>
      </c>
      <c r="G175">
        <v>0</v>
      </c>
      <c r="H175">
        <v>0</v>
      </c>
      <c r="I175">
        <v>0</v>
      </c>
      <c r="J175" t="s">
        <v>74</v>
      </c>
      <c r="K175" t="s">
        <v>76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</row>
    <row r="176" spans="1:36" x14ac:dyDescent="0.25">
      <c r="A176">
        <v>11203</v>
      </c>
      <c r="B176" t="s">
        <v>73</v>
      </c>
      <c r="C176">
        <v>0</v>
      </c>
      <c r="D176">
        <v>0</v>
      </c>
      <c r="E176">
        <v>18</v>
      </c>
      <c r="F176">
        <v>0</v>
      </c>
      <c r="G176">
        <v>0</v>
      </c>
      <c r="H176">
        <v>0</v>
      </c>
      <c r="I176">
        <v>0</v>
      </c>
      <c r="J176" t="s">
        <v>74</v>
      </c>
      <c r="K176" t="s">
        <v>76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</row>
    <row r="177" spans="1:36" x14ac:dyDescent="0.25">
      <c r="A177">
        <v>11204</v>
      </c>
      <c r="B177" t="s">
        <v>73</v>
      </c>
      <c r="C177">
        <v>0</v>
      </c>
      <c r="D177">
        <v>0</v>
      </c>
      <c r="E177">
        <v>24</v>
      </c>
      <c r="F177">
        <v>0</v>
      </c>
      <c r="G177">
        <v>0</v>
      </c>
      <c r="H177">
        <v>0</v>
      </c>
      <c r="I177">
        <v>0</v>
      </c>
      <c r="J177" t="s">
        <v>74</v>
      </c>
      <c r="K177" t="s">
        <v>77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</row>
    <row r="178" spans="1:36" x14ac:dyDescent="0.25">
      <c r="A178">
        <v>11205</v>
      </c>
      <c r="B178" t="s">
        <v>73</v>
      </c>
      <c r="C178">
        <v>0</v>
      </c>
      <c r="D178">
        <v>0</v>
      </c>
      <c r="E178" s="5">
        <v>10</v>
      </c>
      <c r="F178">
        <v>0</v>
      </c>
      <c r="G178">
        <v>0</v>
      </c>
      <c r="H178">
        <v>0</v>
      </c>
      <c r="I178">
        <v>0</v>
      </c>
      <c r="J178" t="s">
        <v>74</v>
      </c>
      <c r="K178" t="s">
        <v>78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</row>
    <row r="179" spans="1:36" x14ac:dyDescent="0.25">
      <c r="A179">
        <v>11206</v>
      </c>
      <c r="B179" t="s">
        <v>79</v>
      </c>
      <c r="C179">
        <v>0</v>
      </c>
      <c r="D179">
        <v>0</v>
      </c>
      <c r="E179">
        <v>46</v>
      </c>
      <c r="F179">
        <v>0</v>
      </c>
      <c r="G179">
        <v>0</v>
      </c>
      <c r="H179">
        <v>0</v>
      </c>
      <c r="I179">
        <v>0</v>
      </c>
      <c r="J179" t="s">
        <v>80</v>
      </c>
      <c r="K179" t="s">
        <v>81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</row>
    <row r="180" spans="1:36" x14ac:dyDescent="0.25">
      <c r="A180">
        <v>11207</v>
      </c>
      <c r="B180" t="s">
        <v>79</v>
      </c>
      <c r="C180">
        <v>0</v>
      </c>
      <c r="D180">
        <v>0</v>
      </c>
      <c r="E180">
        <v>60</v>
      </c>
      <c r="F180">
        <v>0</v>
      </c>
      <c r="G180">
        <v>0</v>
      </c>
      <c r="H180">
        <v>0</v>
      </c>
      <c r="I180">
        <v>0</v>
      </c>
      <c r="J180" t="s">
        <v>80</v>
      </c>
      <c r="K180" t="s">
        <v>82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</row>
    <row r="181" spans="1:36" x14ac:dyDescent="0.25">
      <c r="A181">
        <v>11208</v>
      </c>
      <c r="B181" t="s">
        <v>79</v>
      </c>
      <c r="C181">
        <v>0</v>
      </c>
      <c r="D181">
        <v>0</v>
      </c>
      <c r="E181">
        <v>75</v>
      </c>
      <c r="F181">
        <v>0</v>
      </c>
      <c r="G181">
        <v>0</v>
      </c>
      <c r="H181">
        <v>0</v>
      </c>
      <c r="I181">
        <v>0</v>
      </c>
      <c r="J181" t="s">
        <v>80</v>
      </c>
      <c r="K181" t="s">
        <v>82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</row>
    <row r="182" spans="1:36" x14ac:dyDescent="0.25">
      <c r="A182">
        <v>11209</v>
      </c>
      <c r="B182" t="s">
        <v>79</v>
      </c>
      <c r="C182">
        <v>0</v>
      </c>
      <c r="D182">
        <v>0</v>
      </c>
      <c r="E182">
        <v>91</v>
      </c>
      <c r="F182">
        <v>0</v>
      </c>
      <c r="G182">
        <v>0</v>
      </c>
      <c r="H182">
        <v>0</v>
      </c>
      <c r="I182">
        <v>0</v>
      </c>
      <c r="J182" t="s">
        <v>80</v>
      </c>
      <c r="K182" t="s">
        <v>82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</row>
    <row r="183" spans="1:36" x14ac:dyDescent="0.25">
      <c r="A183">
        <v>11210</v>
      </c>
      <c r="B183" t="s">
        <v>79</v>
      </c>
      <c r="C183">
        <v>0</v>
      </c>
      <c r="D183">
        <v>0</v>
      </c>
      <c r="E183">
        <v>108</v>
      </c>
      <c r="F183">
        <v>0</v>
      </c>
      <c r="G183">
        <v>0</v>
      </c>
      <c r="H183">
        <v>0</v>
      </c>
      <c r="I183">
        <v>0</v>
      </c>
      <c r="J183" t="s">
        <v>80</v>
      </c>
      <c r="K183" t="s">
        <v>82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</row>
    <row r="184" spans="1:36" x14ac:dyDescent="0.25">
      <c r="A184">
        <v>11211</v>
      </c>
      <c r="B184" t="s">
        <v>79</v>
      </c>
      <c r="C184">
        <v>0</v>
      </c>
      <c r="D184">
        <v>0</v>
      </c>
      <c r="E184">
        <v>126</v>
      </c>
      <c r="F184">
        <v>0</v>
      </c>
      <c r="G184">
        <v>0</v>
      </c>
      <c r="H184">
        <v>0</v>
      </c>
      <c r="I184">
        <v>0</v>
      </c>
      <c r="J184" t="s">
        <v>80</v>
      </c>
      <c r="K184" t="s">
        <v>82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</row>
    <row r="185" spans="1:36" x14ac:dyDescent="0.25">
      <c r="A185">
        <v>11212</v>
      </c>
      <c r="B185" t="s">
        <v>79</v>
      </c>
      <c r="C185">
        <v>0</v>
      </c>
      <c r="D185">
        <v>0</v>
      </c>
      <c r="E185">
        <v>146</v>
      </c>
      <c r="F185">
        <v>0</v>
      </c>
      <c r="G185">
        <v>0</v>
      </c>
      <c r="H185">
        <v>0</v>
      </c>
      <c r="I185">
        <v>0</v>
      </c>
      <c r="J185" t="s">
        <v>80</v>
      </c>
      <c r="K185" t="s">
        <v>82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</row>
    <row r="186" spans="1:36" x14ac:dyDescent="0.25">
      <c r="A186">
        <v>11213</v>
      </c>
      <c r="B186" t="s">
        <v>79</v>
      </c>
      <c r="C186">
        <v>0</v>
      </c>
      <c r="D186">
        <v>0</v>
      </c>
      <c r="E186">
        <v>166</v>
      </c>
      <c r="F186">
        <v>0</v>
      </c>
      <c r="G186">
        <v>0</v>
      </c>
      <c r="H186">
        <v>0</v>
      </c>
      <c r="I186">
        <v>0</v>
      </c>
      <c r="J186" t="s">
        <v>80</v>
      </c>
      <c r="K186" t="s">
        <v>82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</row>
    <row r="187" spans="1:36" x14ac:dyDescent="0.25">
      <c r="A187">
        <v>11214</v>
      </c>
      <c r="B187" t="s">
        <v>79</v>
      </c>
      <c r="C187">
        <v>0</v>
      </c>
      <c r="D187">
        <v>0</v>
      </c>
      <c r="E187">
        <v>187</v>
      </c>
      <c r="F187">
        <v>0</v>
      </c>
      <c r="G187">
        <v>0</v>
      </c>
      <c r="H187">
        <v>0</v>
      </c>
      <c r="I187">
        <v>0</v>
      </c>
      <c r="J187" t="s">
        <v>80</v>
      </c>
      <c r="K187" t="s">
        <v>82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</row>
    <row r="188" spans="1:36" x14ac:dyDescent="0.25">
      <c r="A188">
        <v>12100</v>
      </c>
      <c r="B188" t="s">
        <v>73</v>
      </c>
      <c r="C188">
        <v>0</v>
      </c>
      <c r="D188" s="5">
        <v>15</v>
      </c>
      <c r="E188">
        <v>0</v>
      </c>
      <c r="F188">
        <v>0</v>
      </c>
      <c r="G188">
        <v>0</v>
      </c>
      <c r="H188">
        <v>0</v>
      </c>
      <c r="I188">
        <v>0</v>
      </c>
      <c r="J188" t="s">
        <v>74</v>
      </c>
      <c r="K188" t="s">
        <v>75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</row>
    <row r="189" spans="1:36" x14ac:dyDescent="0.25">
      <c r="A189">
        <v>12101</v>
      </c>
      <c r="B189" t="s">
        <v>73</v>
      </c>
      <c r="C189">
        <v>0</v>
      </c>
      <c r="D189">
        <v>6</v>
      </c>
      <c r="E189">
        <v>0</v>
      </c>
      <c r="F189">
        <v>0</v>
      </c>
      <c r="G189">
        <v>0</v>
      </c>
      <c r="H189">
        <v>0</v>
      </c>
      <c r="I189">
        <v>0</v>
      </c>
      <c r="J189" t="s">
        <v>74</v>
      </c>
      <c r="K189" t="s">
        <v>75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</row>
    <row r="190" spans="1:36" x14ac:dyDescent="0.25">
      <c r="A190">
        <v>12102</v>
      </c>
      <c r="B190" t="s">
        <v>73</v>
      </c>
      <c r="C190">
        <v>0</v>
      </c>
      <c r="D190">
        <v>11</v>
      </c>
      <c r="E190">
        <v>0</v>
      </c>
      <c r="F190">
        <v>0</v>
      </c>
      <c r="G190">
        <v>0</v>
      </c>
      <c r="H190">
        <v>0</v>
      </c>
      <c r="I190">
        <v>0</v>
      </c>
      <c r="J190" t="s">
        <v>74</v>
      </c>
      <c r="K190" t="s">
        <v>76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</row>
    <row r="191" spans="1:36" x14ac:dyDescent="0.25">
      <c r="A191">
        <v>12103</v>
      </c>
      <c r="B191" t="s">
        <v>73</v>
      </c>
      <c r="C191">
        <v>0</v>
      </c>
      <c r="D191">
        <v>15</v>
      </c>
      <c r="E191">
        <v>0</v>
      </c>
      <c r="F191">
        <v>0</v>
      </c>
      <c r="G191">
        <v>0</v>
      </c>
      <c r="H191">
        <v>0</v>
      </c>
      <c r="I191">
        <v>0</v>
      </c>
      <c r="J191" t="s">
        <v>74</v>
      </c>
      <c r="K191" t="s">
        <v>76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</row>
    <row r="192" spans="1:36" x14ac:dyDescent="0.25">
      <c r="A192">
        <v>12104</v>
      </c>
      <c r="B192" t="s">
        <v>73</v>
      </c>
      <c r="C192">
        <v>0</v>
      </c>
      <c r="D192">
        <v>21</v>
      </c>
      <c r="E192">
        <v>0</v>
      </c>
      <c r="F192">
        <v>0</v>
      </c>
      <c r="G192">
        <v>0</v>
      </c>
      <c r="H192">
        <v>0</v>
      </c>
      <c r="I192">
        <v>0</v>
      </c>
      <c r="J192" t="s">
        <v>74</v>
      </c>
      <c r="K192" t="s">
        <v>77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</row>
    <row r="193" spans="1:36" x14ac:dyDescent="0.25">
      <c r="A193">
        <v>12105</v>
      </c>
      <c r="B193" t="s">
        <v>73</v>
      </c>
      <c r="C193">
        <v>0</v>
      </c>
      <c r="D193" s="5">
        <v>16</v>
      </c>
      <c r="E193">
        <v>0</v>
      </c>
      <c r="F193">
        <v>0</v>
      </c>
      <c r="G193">
        <v>0</v>
      </c>
      <c r="H193">
        <v>0</v>
      </c>
      <c r="I193">
        <v>0</v>
      </c>
      <c r="J193" t="s">
        <v>74</v>
      </c>
      <c r="K193" t="s">
        <v>78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</row>
    <row r="194" spans="1:36" x14ac:dyDescent="0.25">
      <c r="A194">
        <v>12106</v>
      </c>
      <c r="B194" t="s">
        <v>79</v>
      </c>
      <c r="C194">
        <v>0</v>
      </c>
      <c r="D194">
        <v>40</v>
      </c>
      <c r="E194">
        <v>0</v>
      </c>
      <c r="F194">
        <v>0</v>
      </c>
      <c r="G194">
        <v>0</v>
      </c>
      <c r="H194">
        <v>0</v>
      </c>
      <c r="I194">
        <v>0</v>
      </c>
      <c r="J194" t="s">
        <v>80</v>
      </c>
      <c r="K194" t="s">
        <v>81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</row>
    <row r="195" spans="1:36" x14ac:dyDescent="0.25">
      <c r="A195">
        <v>12107</v>
      </c>
      <c r="B195" t="s">
        <v>79</v>
      </c>
      <c r="C195">
        <v>0</v>
      </c>
      <c r="D195">
        <v>53</v>
      </c>
      <c r="E195">
        <v>0</v>
      </c>
      <c r="F195">
        <v>0</v>
      </c>
      <c r="G195">
        <v>0</v>
      </c>
      <c r="H195">
        <v>0</v>
      </c>
      <c r="I195">
        <v>0</v>
      </c>
      <c r="J195" t="s">
        <v>80</v>
      </c>
      <c r="K195" t="s">
        <v>82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</row>
    <row r="196" spans="1:36" x14ac:dyDescent="0.25">
      <c r="A196">
        <v>12108</v>
      </c>
      <c r="B196" t="s">
        <v>79</v>
      </c>
      <c r="C196">
        <v>0</v>
      </c>
      <c r="D196">
        <v>66</v>
      </c>
      <c r="E196">
        <v>0</v>
      </c>
      <c r="F196">
        <v>0</v>
      </c>
      <c r="G196">
        <v>0</v>
      </c>
      <c r="H196">
        <v>0</v>
      </c>
      <c r="I196">
        <v>0</v>
      </c>
      <c r="J196" t="s">
        <v>80</v>
      </c>
      <c r="K196" t="s">
        <v>82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</row>
    <row r="197" spans="1:36" x14ac:dyDescent="0.25">
      <c r="A197">
        <v>12109</v>
      </c>
      <c r="B197" t="s">
        <v>79</v>
      </c>
      <c r="C197">
        <v>0</v>
      </c>
      <c r="D197">
        <v>80</v>
      </c>
      <c r="E197">
        <v>0</v>
      </c>
      <c r="F197">
        <v>0</v>
      </c>
      <c r="G197">
        <v>0</v>
      </c>
      <c r="H197">
        <v>0</v>
      </c>
      <c r="I197">
        <v>0</v>
      </c>
      <c r="J197" t="s">
        <v>80</v>
      </c>
      <c r="K197" t="s">
        <v>82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</row>
    <row r="198" spans="1:36" x14ac:dyDescent="0.25">
      <c r="A198">
        <v>12110</v>
      </c>
      <c r="B198" t="s">
        <v>79</v>
      </c>
      <c r="C198">
        <v>0</v>
      </c>
      <c r="D198">
        <v>95</v>
      </c>
      <c r="E198">
        <v>0</v>
      </c>
      <c r="F198">
        <v>0</v>
      </c>
      <c r="G198">
        <v>0</v>
      </c>
      <c r="H198">
        <v>0</v>
      </c>
      <c r="I198">
        <v>0</v>
      </c>
      <c r="J198" t="s">
        <v>80</v>
      </c>
      <c r="K198" t="s">
        <v>82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</row>
    <row r="199" spans="1:36" x14ac:dyDescent="0.25">
      <c r="A199">
        <v>12111</v>
      </c>
      <c r="B199" t="s">
        <v>79</v>
      </c>
      <c r="C199">
        <v>0</v>
      </c>
      <c r="D199">
        <v>111</v>
      </c>
      <c r="E199">
        <v>0</v>
      </c>
      <c r="F199">
        <v>0</v>
      </c>
      <c r="G199">
        <v>0</v>
      </c>
      <c r="H199">
        <v>0</v>
      </c>
      <c r="I199">
        <v>0</v>
      </c>
      <c r="J199" t="s">
        <v>80</v>
      </c>
      <c r="K199" t="s">
        <v>82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</row>
    <row r="200" spans="1:36" x14ac:dyDescent="0.25">
      <c r="A200">
        <v>12112</v>
      </c>
      <c r="B200" t="s">
        <v>79</v>
      </c>
      <c r="C200">
        <v>0</v>
      </c>
      <c r="D200">
        <v>128</v>
      </c>
      <c r="E200">
        <v>0</v>
      </c>
      <c r="F200">
        <v>0</v>
      </c>
      <c r="G200">
        <v>0</v>
      </c>
      <c r="H200">
        <v>0</v>
      </c>
      <c r="I200">
        <v>0</v>
      </c>
      <c r="J200" t="s">
        <v>80</v>
      </c>
      <c r="K200" t="s">
        <v>82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</row>
    <row r="201" spans="1:36" x14ac:dyDescent="0.25">
      <c r="A201">
        <v>12113</v>
      </c>
      <c r="B201" t="s">
        <v>79</v>
      </c>
      <c r="C201">
        <v>0</v>
      </c>
      <c r="D201">
        <v>146</v>
      </c>
      <c r="E201">
        <v>0</v>
      </c>
      <c r="F201">
        <v>0</v>
      </c>
      <c r="G201">
        <v>0</v>
      </c>
      <c r="H201">
        <v>0</v>
      </c>
      <c r="I201">
        <v>0</v>
      </c>
      <c r="J201" t="s">
        <v>80</v>
      </c>
      <c r="K201" t="s">
        <v>82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</row>
    <row r="202" spans="1:36" x14ac:dyDescent="0.25">
      <c r="A202">
        <v>12114</v>
      </c>
      <c r="B202" t="s">
        <v>79</v>
      </c>
      <c r="C202">
        <v>0</v>
      </c>
      <c r="D202">
        <v>165</v>
      </c>
      <c r="E202">
        <v>0</v>
      </c>
      <c r="F202">
        <v>0</v>
      </c>
      <c r="G202">
        <v>0</v>
      </c>
      <c r="H202">
        <v>0</v>
      </c>
      <c r="I202">
        <v>0</v>
      </c>
      <c r="J202" t="s">
        <v>80</v>
      </c>
      <c r="K202" t="s">
        <v>82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</row>
    <row r="203" spans="1:36" x14ac:dyDescent="0.25">
      <c r="A203">
        <v>12200</v>
      </c>
      <c r="B203" t="s">
        <v>73</v>
      </c>
      <c r="C203">
        <v>0</v>
      </c>
      <c r="D203">
        <v>0</v>
      </c>
      <c r="E203" s="5">
        <v>15</v>
      </c>
      <c r="F203">
        <v>0</v>
      </c>
      <c r="G203">
        <v>0</v>
      </c>
      <c r="H203">
        <v>0</v>
      </c>
      <c r="I203">
        <v>0</v>
      </c>
      <c r="J203" t="s">
        <v>74</v>
      </c>
      <c r="K203" t="s">
        <v>75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</row>
    <row r="204" spans="1:36" x14ac:dyDescent="0.25">
      <c r="A204">
        <v>12201</v>
      </c>
      <c r="B204" t="s">
        <v>73</v>
      </c>
      <c r="C204">
        <v>0</v>
      </c>
      <c r="D204">
        <v>0</v>
      </c>
      <c r="E204">
        <v>6</v>
      </c>
      <c r="F204">
        <v>0</v>
      </c>
      <c r="G204">
        <v>0</v>
      </c>
      <c r="H204">
        <v>0</v>
      </c>
      <c r="I204">
        <v>0</v>
      </c>
      <c r="J204" t="s">
        <v>74</v>
      </c>
      <c r="K204" t="s">
        <v>75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</row>
    <row r="205" spans="1:36" x14ac:dyDescent="0.25">
      <c r="A205">
        <v>12202</v>
      </c>
      <c r="B205" t="s">
        <v>73</v>
      </c>
      <c r="C205">
        <v>0</v>
      </c>
      <c r="D205">
        <v>0</v>
      </c>
      <c r="E205">
        <v>11</v>
      </c>
      <c r="F205">
        <v>0</v>
      </c>
      <c r="G205">
        <v>0</v>
      </c>
      <c r="H205">
        <v>0</v>
      </c>
      <c r="I205">
        <v>0</v>
      </c>
      <c r="J205" t="s">
        <v>74</v>
      </c>
      <c r="K205" t="s">
        <v>76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</row>
    <row r="206" spans="1:36" x14ac:dyDescent="0.25">
      <c r="A206">
        <v>12203</v>
      </c>
      <c r="B206" t="s">
        <v>73</v>
      </c>
      <c r="C206">
        <v>0</v>
      </c>
      <c r="D206">
        <v>0</v>
      </c>
      <c r="E206">
        <v>15</v>
      </c>
      <c r="F206">
        <v>0</v>
      </c>
      <c r="G206">
        <v>0</v>
      </c>
      <c r="H206">
        <v>0</v>
      </c>
      <c r="I206">
        <v>0</v>
      </c>
      <c r="J206" t="s">
        <v>74</v>
      </c>
      <c r="K206" t="s">
        <v>76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</row>
    <row r="207" spans="1:36" x14ac:dyDescent="0.25">
      <c r="A207">
        <v>12204</v>
      </c>
      <c r="B207" t="s">
        <v>73</v>
      </c>
      <c r="C207">
        <v>0</v>
      </c>
      <c r="D207">
        <v>0</v>
      </c>
      <c r="E207">
        <v>21</v>
      </c>
      <c r="F207">
        <v>0</v>
      </c>
      <c r="G207">
        <v>0</v>
      </c>
      <c r="H207">
        <v>0</v>
      </c>
      <c r="I207">
        <v>0</v>
      </c>
      <c r="J207" t="s">
        <v>74</v>
      </c>
      <c r="K207" t="s">
        <v>77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</row>
    <row r="208" spans="1:36" x14ac:dyDescent="0.25">
      <c r="A208">
        <v>12205</v>
      </c>
      <c r="B208" t="s">
        <v>73</v>
      </c>
      <c r="C208">
        <v>0</v>
      </c>
      <c r="D208">
        <v>0</v>
      </c>
      <c r="E208" s="5">
        <v>16</v>
      </c>
      <c r="F208">
        <v>0</v>
      </c>
      <c r="G208">
        <v>0</v>
      </c>
      <c r="H208">
        <v>0</v>
      </c>
      <c r="I208">
        <v>0</v>
      </c>
      <c r="J208" t="s">
        <v>74</v>
      </c>
      <c r="K208" t="s">
        <v>78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</row>
    <row r="209" spans="1:36" x14ac:dyDescent="0.25">
      <c r="A209">
        <v>12206</v>
      </c>
      <c r="B209" t="s">
        <v>79</v>
      </c>
      <c r="C209">
        <v>0</v>
      </c>
      <c r="D209">
        <v>0</v>
      </c>
      <c r="E209">
        <v>40</v>
      </c>
      <c r="F209">
        <v>0</v>
      </c>
      <c r="G209">
        <v>0</v>
      </c>
      <c r="H209">
        <v>0</v>
      </c>
      <c r="I209">
        <v>0</v>
      </c>
      <c r="J209" t="s">
        <v>80</v>
      </c>
      <c r="K209" t="s">
        <v>81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</row>
    <row r="210" spans="1:36" x14ac:dyDescent="0.25">
      <c r="A210">
        <v>12207</v>
      </c>
      <c r="B210" t="s">
        <v>79</v>
      </c>
      <c r="C210">
        <v>0</v>
      </c>
      <c r="D210">
        <v>0</v>
      </c>
      <c r="E210">
        <v>53</v>
      </c>
      <c r="F210">
        <v>0</v>
      </c>
      <c r="G210">
        <v>0</v>
      </c>
      <c r="H210">
        <v>0</v>
      </c>
      <c r="I210">
        <v>0</v>
      </c>
      <c r="J210" t="s">
        <v>80</v>
      </c>
      <c r="K210" t="s">
        <v>82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</row>
    <row r="211" spans="1:36" x14ac:dyDescent="0.25">
      <c r="A211">
        <v>12208</v>
      </c>
      <c r="B211" t="s">
        <v>79</v>
      </c>
      <c r="C211">
        <v>0</v>
      </c>
      <c r="D211">
        <v>0</v>
      </c>
      <c r="E211">
        <v>66</v>
      </c>
      <c r="F211">
        <v>0</v>
      </c>
      <c r="G211">
        <v>0</v>
      </c>
      <c r="H211">
        <v>0</v>
      </c>
      <c r="I211">
        <v>0</v>
      </c>
      <c r="J211" t="s">
        <v>80</v>
      </c>
      <c r="K211" t="s">
        <v>82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</row>
    <row r="212" spans="1:36" x14ac:dyDescent="0.25">
      <c r="A212">
        <v>12209</v>
      </c>
      <c r="B212" t="s">
        <v>79</v>
      </c>
      <c r="C212">
        <v>0</v>
      </c>
      <c r="D212">
        <v>0</v>
      </c>
      <c r="E212">
        <v>80</v>
      </c>
      <c r="F212">
        <v>0</v>
      </c>
      <c r="G212">
        <v>0</v>
      </c>
      <c r="H212">
        <v>0</v>
      </c>
      <c r="I212">
        <v>0</v>
      </c>
      <c r="J212" t="s">
        <v>80</v>
      </c>
      <c r="K212" t="s">
        <v>82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</row>
    <row r="213" spans="1:36" x14ac:dyDescent="0.25">
      <c r="A213">
        <v>12210</v>
      </c>
      <c r="B213" t="s">
        <v>79</v>
      </c>
      <c r="C213">
        <v>0</v>
      </c>
      <c r="D213">
        <v>0</v>
      </c>
      <c r="E213">
        <v>95</v>
      </c>
      <c r="F213">
        <v>0</v>
      </c>
      <c r="G213">
        <v>0</v>
      </c>
      <c r="H213">
        <v>0</v>
      </c>
      <c r="I213">
        <v>0</v>
      </c>
      <c r="J213" t="s">
        <v>80</v>
      </c>
      <c r="K213" t="s">
        <v>82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</row>
    <row r="214" spans="1:36" x14ac:dyDescent="0.25">
      <c r="A214">
        <v>12211</v>
      </c>
      <c r="B214" t="s">
        <v>79</v>
      </c>
      <c r="C214">
        <v>0</v>
      </c>
      <c r="D214">
        <v>0</v>
      </c>
      <c r="E214">
        <v>111</v>
      </c>
      <c r="F214">
        <v>0</v>
      </c>
      <c r="G214">
        <v>0</v>
      </c>
      <c r="H214">
        <v>0</v>
      </c>
      <c r="I214">
        <v>0</v>
      </c>
      <c r="J214" t="s">
        <v>80</v>
      </c>
      <c r="K214" t="s">
        <v>82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</row>
    <row r="215" spans="1:36" x14ac:dyDescent="0.25">
      <c r="A215">
        <v>12212</v>
      </c>
      <c r="B215" t="s">
        <v>79</v>
      </c>
      <c r="C215">
        <v>0</v>
      </c>
      <c r="D215">
        <v>0</v>
      </c>
      <c r="E215">
        <v>128</v>
      </c>
      <c r="F215">
        <v>0</v>
      </c>
      <c r="G215">
        <v>0</v>
      </c>
      <c r="H215">
        <v>0</v>
      </c>
      <c r="I215">
        <v>0</v>
      </c>
      <c r="J215" t="s">
        <v>80</v>
      </c>
      <c r="K215" t="s">
        <v>82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</row>
    <row r="216" spans="1:36" x14ac:dyDescent="0.25">
      <c r="A216">
        <v>12213</v>
      </c>
      <c r="B216" t="s">
        <v>79</v>
      </c>
      <c r="C216">
        <v>0</v>
      </c>
      <c r="D216">
        <v>0</v>
      </c>
      <c r="E216">
        <v>146</v>
      </c>
      <c r="F216">
        <v>0</v>
      </c>
      <c r="G216">
        <v>0</v>
      </c>
      <c r="H216">
        <v>0</v>
      </c>
      <c r="I216">
        <v>0</v>
      </c>
      <c r="J216" t="s">
        <v>80</v>
      </c>
      <c r="K216" t="s">
        <v>82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</row>
    <row r="217" spans="1:36" x14ac:dyDescent="0.25">
      <c r="A217">
        <v>12214</v>
      </c>
      <c r="B217" t="s">
        <v>79</v>
      </c>
      <c r="C217">
        <v>0</v>
      </c>
      <c r="D217">
        <v>0</v>
      </c>
      <c r="E217">
        <v>165</v>
      </c>
      <c r="F217">
        <v>0</v>
      </c>
      <c r="G217">
        <v>0</v>
      </c>
      <c r="H217">
        <v>0</v>
      </c>
      <c r="I217">
        <v>0</v>
      </c>
      <c r="J217" t="s">
        <v>80</v>
      </c>
      <c r="K217" t="s">
        <v>82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</row>
    <row r="218" spans="1:36" x14ac:dyDescent="0.25">
      <c r="A218">
        <v>13100</v>
      </c>
      <c r="B218" t="s">
        <v>73</v>
      </c>
      <c r="C218">
        <v>0</v>
      </c>
      <c r="D218" s="5">
        <v>15</v>
      </c>
      <c r="E218">
        <v>0</v>
      </c>
      <c r="F218">
        <v>0</v>
      </c>
      <c r="G218">
        <v>0</v>
      </c>
      <c r="H218">
        <v>0</v>
      </c>
      <c r="I218">
        <v>0</v>
      </c>
      <c r="J218" t="s">
        <v>74</v>
      </c>
      <c r="K218" t="s">
        <v>75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</row>
    <row r="219" spans="1:36" x14ac:dyDescent="0.25">
      <c r="A219">
        <v>13101</v>
      </c>
      <c r="B219" t="s">
        <v>73</v>
      </c>
      <c r="C219">
        <v>0</v>
      </c>
      <c r="D219">
        <v>6</v>
      </c>
      <c r="E219">
        <v>0</v>
      </c>
      <c r="F219">
        <v>0</v>
      </c>
      <c r="G219">
        <v>0</v>
      </c>
      <c r="H219">
        <v>0</v>
      </c>
      <c r="I219">
        <v>0</v>
      </c>
      <c r="J219" t="s">
        <v>74</v>
      </c>
      <c r="K219" t="s">
        <v>75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</row>
    <row r="220" spans="1:36" x14ac:dyDescent="0.25">
      <c r="A220">
        <v>13102</v>
      </c>
      <c r="B220" t="s">
        <v>73</v>
      </c>
      <c r="C220">
        <v>0</v>
      </c>
      <c r="D220">
        <v>9</v>
      </c>
      <c r="E220">
        <v>0</v>
      </c>
      <c r="F220">
        <v>0</v>
      </c>
      <c r="G220">
        <v>0</v>
      </c>
      <c r="H220">
        <v>0</v>
      </c>
      <c r="I220">
        <v>0</v>
      </c>
      <c r="J220" t="s">
        <v>74</v>
      </c>
      <c r="K220" t="s">
        <v>76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</row>
    <row r="221" spans="1:36" x14ac:dyDescent="0.25">
      <c r="A221">
        <v>13103</v>
      </c>
      <c r="B221" t="s">
        <v>73</v>
      </c>
      <c r="C221">
        <v>0</v>
      </c>
      <c r="D221">
        <v>13</v>
      </c>
      <c r="E221">
        <v>0</v>
      </c>
      <c r="F221">
        <v>0</v>
      </c>
      <c r="G221">
        <v>0</v>
      </c>
      <c r="H221">
        <v>0</v>
      </c>
      <c r="I221">
        <v>0</v>
      </c>
      <c r="J221" t="s">
        <v>74</v>
      </c>
      <c r="K221" t="s">
        <v>76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</row>
    <row r="222" spans="1:36" x14ac:dyDescent="0.25">
      <c r="A222">
        <v>13104</v>
      </c>
      <c r="B222" t="s">
        <v>73</v>
      </c>
      <c r="C222">
        <v>0</v>
      </c>
      <c r="D222">
        <v>18</v>
      </c>
      <c r="E222">
        <v>0</v>
      </c>
      <c r="F222">
        <v>0</v>
      </c>
      <c r="G222">
        <v>0</v>
      </c>
      <c r="H222">
        <v>0</v>
      </c>
      <c r="I222">
        <v>0</v>
      </c>
      <c r="J222" t="s">
        <v>74</v>
      </c>
      <c r="K222" t="s">
        <v>77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</row>
    <row r="223" spans="1:36" x14ac:dyDescent="0.25">
      <c r="A223">
        <v>13105</v>
      </c>
      <c r="B223" t="s">
        <v>73</v>
      </c>
      <c r="C223">
        <v>0</v>
      </c>
      <c r="D223" s="5">
        <v>23</v>
      </c>
      <c r="E223">
        <v>0</v>
      </c>
      <c r="F223">
        <v>0</v>
      </c>
      <c r="G223">
        <v>0</v>
      </c>
      <c r="H223">
        <v>0</v>
      </c>
      <c r="I223">
        <v>0</v>
      </c>
      <c r="J223" t="s">
        <v>74</v>
      </c>
      <c r="K223" t="s">
        <v>78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</row>
    <row r="224" spans="1:36" x14ac:dyDescent="0.25">
      <c r="A224">
        <v>13106</v>
      </c>
      <c r="B224" t="s">
        <v>79</v>
      </c>
      <c r="C224">
        <v>0</v>
      </c>
      <c r="D224">
        <v>35</v>
      </c>
      <c r="E224">
        <v>0</v>
      </c>
      <c r="F224">
        <v>0</v>
      </c>
      <c r="G224">
        <v>0</v>
      </c>
      <c r="H224">
        <v>0</v>
      </c>
      <c r="I224">
        <v>0</v>
      </c>
      <c r="J224" t="s">
        <v>80</v>
      </c>
      <c r="K224" t="s">
        <v>81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</row>
    <row r="225" spans="1:36" x14ac:dyDescent="0.25">
      <c r="A225">
        <v>13107</v>
      </c>
      <c r="B225" t="s">
        <v>79</v>
      </c>
      <c r="C225">
        <v>0</v>
      </c>
      <c r="D225">
        <v>46</v>
      </c>
      <c r="E225">
        <v>0</v>
      </c>
      <c r="F225">
        <v>0</v>
      </c>
      <c r="G225">
        <v>0</v>
      </c>
      <c r="H225">
        <v>0</v>
      </c>
      <c r="I225">
        <v>0</v>
      </c>
      <c r="J225" t="s">
        <v>80</v>
      </c>
      <c r="K225" t="s">
        <v>82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</row>
    <row r="226" spans="1:36" x14ac:dyDescent="0.25">
      <c r="A226">
        <v>13108</v>
      </c>
      <c r="B226" t="s">
        <v>79</v>
      </c>
      <c r="C226">
        <v>0</v>
      </c>
      <c r="D226">
        <v>57</v>
      </c>
      <c r="E226">
        <v>0</v>
      </c>
      <c r="F226">
        <v>0</v>
      </c>
      <c r="G226">
        <v>0</v>
      </c>
      <c r="H226">
        <v>0</v>
      </c>
      <c r="I226">
        <v>0</v>
      </c>
      <c r="J226" t="s">
        <v>80</v>
      </c>
      <c r="K226" t="s">
        <v>82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</row>
    <row r="227" spans="1:36" x14ac:dyDescent="0.25">
      <c r="A227">
        <v>13109</v>
      </c>
      <c r="B227" t="s">
        <v>79</v>
      </c>
      <c r="C227">
        <v>0</v>
      </c>
      <c r="D227">
        <v>69</v>
      </c>
      <c r="E227">
        <v>0</v>
      </c>
      <c r="F227">
        <v>0</v>
      </c>
      <c r="G227">
        <v>0</v>
      </c>
      <c r="H227">
        <v>0</v>
      </c>
      <c r="I227">
        <v>0</v>
      </c>
      <c r="J227" t="s">
        <v>80</v>
      </c>
      <c r="K227" t="s">
        <v>82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</row>
    <row r="228" spans="1:36" x14ac:dyDescent="0.25">
      <c r="A228">
        <v>13110</v>
      </c>
      <c r="B228" t="s">
        <v>79</v>
      </c>
      <c r="C228">
        <v>0</v>
      </c>
      <c r="D228">
        <v>83</v>
      </c>
      <c r="E228">
        <v>0</v>
      </c>
      <c r="F228">
        <v>0</v>
      </c>
      <c r="G228">
        <v>0</v>
      </c>
      <c r="H228">
        <v>0</v>
      </c>
      <c r="I228">
        <v>0</v>
      </c>
      <c r="J228" t="s">
        <v>80</v>
      </c>
      <c r="K228" t="s">
        <v>82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</row>
    <row r="229" spans="1:36" x14ac:dyDescent="0.25">
      <c r="A229">
        <v>13111</v>
      </c>
      <c r="B229" t="s">
        <v>79</v>
      </c>
      <c r="C229">
        <v>0</v>
      </c>
      <c r="D229">
        <v>97</v>
      </c>
      <c r="E229">
        <v>0</v>
      </c>
      <c r="F229">
        <v>0</v>
      </c>
      <c r="G229">
        <v>0</v>
      </c>
      <c r="H229">
        <v>0</v>
      </c>
      <c r="I229">
        <v>0</v>
      </c>
      <c r="J229" t="s">
        <v>80</v>
      </c>
      <c r="K229" t="s">
        <v>82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</row>
    <row r="230" spans="1:36" x14ac:dyDescent="0.25">
      <c r="A230">
        <v>13112</v>
      </c>
      <c r="B230" t="s">
        <v>79</v>
      </c>
      <c r="C230">
        <v>0</v>
      </c>
      <c r="D230">
        <v>111</v>
      </c>
      <c r="E230">
        <v>0</v>
      </c>
      <c r="F230">
        <v>0</v>
      </c>
      <c r="G230">
        <v>0</v>
      </c>
      <c r="H230">
        <v>0</v>
      </c>
      <c r="I230">
        <v>0</v>
      </c>
      <c r="J230" t="s">
        <v>80</v>
      </c>
      <c r="K230" t="s">
        <v>82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</row>
    <row r="231" spans="1:36" x14ac:dyDescent="0.25">
      <c r="A231">
        <v>13113</v>
      </c>
      <c r="B231" t="s">
        <v>79</v>
      </c>
      <c r="C231">
        <v>0</v>
      </c>
      <c r="D231">
        <v>127</v>
      </c>
      <c r="E231">
        <v>0</v>
      </c>
      <c r="F231">
        <v>0</v>
      </c>
      <c r="G231">
        <v>0</v>
      </c>
      <c r="H231">
        <v>0</v>
      </c>
      <c r="I231">
        <v>0</v>
      </c>
      <c r="J231" t="s">
        <v>80</v>
      </c>
      <c r="K231" t="s">
        <v>82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</row>
    <row r="232" spans="1:36" x14ac:dyDescent="0.25">
      <c r="A232">
        <v>13114</v>
      </c>
      <c r="B232" t="s">
        <v>79</v>
      </c>
      <c r="C232">
        <v>0</v>
      </c>
      <c r="D232">
        <v>143</v>
      </c>
      <c r="E232">
        <v>0</v>
      </c>
      <c r="F232">
        <v>0</v>
      </c>
      <c r="G232">
        <v>0</v>
      </c>
      <c r="H232">
        <v>0</v>
      </c>
      <c r="I232">
        <v>0</v>
      </c>
      <c r="J232" t="s">
        <v>80</v>
      </c>
      <c r="K232" t="s">
        <v>82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</row>
    <row r="233" spans="1:36" x14ac:dyDescent="0.25">
      <c r="A233">
        <v>13200</v>
      </c>
      <c r="B233" t="s">
        <v>73</v>
      </c>
      <c r="C233">
        <v>0</v>
      </c>
      <c r="D233">
        <v>0</v>
      </c>
      <c r="E233" s="5">
        <v>15</v>
      </c>
      <c r="F233">
        <v>0</v>
      </c>
      <c r="G233">
        <v>0</v>
      </c>
      <c r="H233">
        <v>0</v>
      </c>
      <c r="I233">
        <v>0</v>
      </c>
      <c r="J233" t="s">
        <v>74</v>
      </c>
      <c r="K233" t="s">
        <v>75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</row>
    <row r="234" spans="1:36" x14ac:dyDescent="0.25">
      <c r="A234">
        <v>13201</v>
      </c>
      <c r="B234" t="s">
        <v>73</v>
      </c>
      <c r="C234">
        <v>0</v>
      </c>
      <c r="D234">
        <v>0</v>
      </c>
      <c r="E234">
        <v>6</v>
      </c>
      <c r="F234">
        <v>0</v>
      </c>
      <c r="G234">
        <v>0</v>
      </c>
      <c r="H234">
        <v>0</v>
      </c>
      <c r="I234">
        <v>0</v>
      </c>
      <c r="J234" t="s">
        <v>74</v>
      </c>
      <c r="K234" t="s">
        <v>75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</row>
    <row r="235" spans="1:36" x14ac:dyDescent="0.25">
      <c r="A235">
        <v>13202</v>
      </c>
      <c r="B235" t="s">
        <v>73</v>
      </c>
      <c r="C235">
        <v>0</v>
      </c>
      <c r="D235">
        <v>0</v>
      </c>
      <c r="E235">
        <v>9</v>
      </c>
      <c r="F235">
        <v>0</v>
      </c>
      <c r="G235">
        <v>0</v>
      </c>
      <c r="H235">
        <v>0</v>
      </c>
      <c r="I235">
        <v>0</v>
      </c>
      <c r="J235" t="s">
        <v>74</v>
      </c>
      <c r="K235" t="s">
        <v>76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</row>
    <row r="236" spans="1:36" x14ac:dyDescent="0.25">
      <c r="A236">
        <v>13203</v>
      </c>
      <c r="B236" t="s">
        <v>73</v>
      </c>
      <c r="C236">
        <v>0</v>
      </c>
      <c r="D236">
        <v>0</v>
      </c>
      <c r="E236">
        <v>13</v>
      </c>
      <c r="F236">
        <v>0</v>
      </c>
      <c r="G236">
        <v>0</v>
      </c>
      <c r="H236">
        <v>0</v>
      </c>
      <c r="I236">
        <v>0</v>
      </c>
      <c r="J236" t="s">
        <v>74</v>
      </c>
      <c r="K236" t="s">
        <v>76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</row>
    <row r="237" spans="1:36" x14ac:dyDescent="0.25">
      <c r="A237">
        <v>13204</v>
      </c>
      <c r="B237" t="s">
        <v>73</v>
      </c>
      <c r="C237">
        <v>0</v>
      </c>
      <c r="D237">
        <v>0</v>
      </c>
      <c r="E237">
        <v>18</v>
      </c>
      <c r="F237">
        <v>0</v>
      </c>
      <c r="G237">
        <v>0</v>
      </c>
      <c r="H237">
        <v>0</v>
      </c>
      <c r="I237">
        <v>0</v>
      </c>
      <c r="J237" t="s">
        <v>74</v>
      </c>
      <c r="K237" t="s">
        <v>77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</row>
    <row r="238" spans="1:36" x14ac:dyDescent="0.25">
      <c r="A238">
        <v>13205</v>
      </c>
      <c r="B238" t="s">
        <v>73</v>
      </c>
      <c r="C238">
        <v>0</v>
      </c>
      <c r="D238">
        <v>0</v>
      </c>
      <c r="E238" s="5">
        <v>23</v>
      </c>
      <c r="F238">
        <v>0</v>
      </c>
      <c r="G238">
        <v>0</v>
      </c>
      <c r="H238">
        <v>0</v>
      </c>
      <c r="I238">
        <v>0</v>
      </c>
      <c r="J238" t="s">
        <v>74</v>
      </c>
      <c r="K238" t="s">
        <v>78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</row>
    <row r="239" spans="1:36" x14ac:dyDescent="0.25">
      <c r="A239">
        <v>13206</v>
      </c>
      <c r="B239" t="s">
        <v>79</v>
      </c>
      <c r="C239">
        <v>0</v>
      </c>
      <c r="D239">
        <v>0</v>
      </c>
      <c r="E239">
        <v>35</v>
      </c>
      <c r="F239">
        <v>0</v>
      </c>
      <c r="G239">
        <v>0</v>
      </c>
      <c r="H239">
        <v>0</v>
      </c>
      <c r="I239">
        <v>0</v>
      </c>
      <c r="J239" t="s">
        <v>80</v>
      </c>
      <c r="K239" t="s">
        <v>81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</row>
    <row r="240" spans="1:36" x14ac:dyDescent="0.25">
      <c r="A240">
        <v>13207</v>
      </c>
      <c r="B240" t="s">
        <v>79</v>
      </c>
      <c r="C240">
        <v>0</v>
      </c>
      <c r="D240">
        <v>0</v>
      </c>
      <c r="E240">
        <v>46</v>
      </c>
      <c r="F240">
        <v>0</v>
      </c>
      <c r="G240">
        <v>0</v>
      </c>
      <c r="H240">
        <v>0</v>
      </c>
      <c r="I240">
        <v>0</v>
      </c>
      <c r="J240" t="s">
        <v>80</v>
      </c>
      <c r="K240" t="s">
        <v>82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</row>
    <row r="241" spans="1:36" x14ac:dyDescent="0.25">
      <c r="A241">
        <v>13208</v>
      </c>
      <c r="B241" t="s">
        <v>79</v>
      </c>
      <c r="C241">
        <v>0</v>
      </c>
      <c r="D241">
        <v>0</v>
      </c>
      <c r="E241">
        <v>57</v>
      </c>
      <c r="F241">
        <v>0</v>
      </c>
      <c r="G241">
        <v>0</v>
      </c>
      <c r="H241">
        <v>0</v>
      </c>
      <c r="I241">
        <v>0</v>
      </c>
      <c r="J241" t="s">
        <v>80</v>
      </c>
      <c r="K241" t="s">
        <v>82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</row>
    <row r="242" spans="1:36" x14ac:dyDescent="0.25">
      <c r="A242">
        <v>13209</v>
      </c>
      <c r="B242" t="s">
        <v>79</v>
      </c>
      <c r="C242">
        <v>0</v>
      </c>
      <c r="D242">
        <v>0</v>
      </c>
      <c r="E242">
        <v>69</v>
      </c>
      <c r="F242">
        <v>0</v>
      </c>
      <c r="G242">
        <v>0</v>
      </c>
      <c r="H242">
        <v>0</v>
      </c>
      <c r="I242">
        <v>0</v>
      </c>
      <c r="J242" t="s">
        <v>80</v>
      </c>
      <c r="K242" t="s">
        <v>82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</row>
    <row r="243" spans="1:36" x14ac:dyDescent="0.25">
      <c r="A243">
        <v>13210</v>
      </c>
      <c r="B243" t="s">
        <v>79</v>
      </c>
      <c r="C243">
        <v>0</v>
      </c>
      <c r="D243">
        <v>0</v>
      </c>
      <c r="E243">
        <v>83</v>
      </c>
      <c r="F243">
        <v>0</v>
      </c>
      <c r="G243">
        <v>0</v>
      </c>
      <c r="H243">
        <v>0</v>
      </c>
      <c r="I243">
        <v>0</v>
      </c>
      <c r="J243" t="s">
        <v>80</v>
      </c>
      <c r="K243" t="s">
        <v>82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</row>
    <row r="244" spans="1:36" x14ac:dyDescent="0.25">
      <c r="A244">
        <v>13211</v>
      </c>
      <c r="B244" t="s">
        <v>79</v>
      </c>
      <c r="C244">
        <v>0</v>
      </c>
      <c r="D244">
        <v>0</v>
      </c>
      <c r="E244">
        <v>97</v>
      </c>
      <c r="F244">
        <v>0</v>
      </c>
      <c r="G244">
        <v>0</v>
      </c>
      <c r="H244">
        <v>0</v>
      </c>
      <c r="I244">
        <v>0</v>
      </c>
      <c r="J244" t="s">
        <v>80</v>
      </c>
      <c r="K244" t="s">
        <v>82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</row>
    <row r="245" spans="1:36" x14ac:dyDescent="0.25">
      <c r="A245">
        <v>13212</v>
      </c>
      <c r="B245" t="s">
        <v>79</v>
      </c>
      <c r="C245">
        <v>0</v>
      </c>
      <c r="D245">
        <v>0</v>
      </c>
      <c r="E245">
        <v>111</v>
      </c>
      <c r="F245">
        <v>0</v>
      </c>
      <c r="G245">
        <v>0</v>
      </c>
      <c r="H245">
        <v>0</v>
      </c>
      <c r="I245">
        <v>0</v>
      </c>
      <c r="J245" t="s">
        <v>80</v>
      </c>
      <c r="K245" t="s">
        <v>82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</row>
    <row r="246" spans="1:36" x14ac:dyDescent="0.25">
      <c r="A246">
        <v>13213</v>
      </c>
      <c r="B246" t="s">
        <v>79</v>
      </c>
      <c r="C246">
        <v>0</v>
      </c>
      <c r="D246">
        <v>0</v>
      </c>
      <c r="E246">
        <v>127</v>
      </c>
      <c r="F246">
        <v>0</v>
      </c>
      <c r="G246">
        <v>0</v>
      </c>
      <c r="H246">
        <v>0</v>
      </c>
      <c r="I246">
        <v>0</v>
      </c>
      <c r="J246" t="s">
        <v>80</v>
      </c>
      <c r="K246" t="s">
        <v>82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</row>
    <row r="247" spans="1:36" x14ac:dyDescent="0.25">
      <c r="A247">
        <v>13214</v>
      </c>
      <c r="B247" t="s">
        <v>79</v>
      </c>
      <c r="C247">
        <v>0</v>
      </c>
      <c r="D247">
        <v>0</v>
      </c>
      <c r="E247">
        <v>143</v>
      </c>
      <c r="F247">
        <v>0</v>
      </c>
      <c r="G247">
        <v>0</v>
      </c>
      <c r="H247">
        <v>0</v>
      </c>
      <c r="I247">
        <v>0</v>
      </c>
      <c r="J247" t="s">
        <v>80</v>
      </c>
      <c r="K247" t="s">
        <v>82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</row>
    <row r="248" spans="1:36" x14ac:dyDescent="0.25">
      <c r="A248">
        <v>14100</v>
      </c>
      <c r="B248" t="s">
        <v>73</v>
      </c>
      <c r="C248" s="5">
        <v>200</v>
      </c>
      <c r="D248">
        <v>0</v>
      </c>
      <c r="E248">
        <v>0</v>
      </c>
      <c r="F248">
        <v>0</v>
      </c>
      <c r="G248">
        <v>0</v>
      </c>
      <c r="H248" s="5">
        <v>20</v>
      </c>
      <c r="I248" s="5">
        <v>20</v>
      </c>
      <c r="J248" t="s">
        <v>74</v>
      </c>
      <c r="K248" t="s">
        <v>75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</row>
    <row r="249" spans="1:36" x14ac:dyDescent="0.25">
      <c r="A249">
        <v>14101</v>
      </c>
      <c r="B249" t="s">
        <v>73</v>
      </c>
      <c r="C249">
        <v>129</v>
      </c>
      <c r="D249">
        <v>0</v>
      </c>
      <c r="E249">
        <v>0</v>
      </c>
      <c r="F249">
        <v>0</v>
      </c>
      <c r="G249">
        <v>0</v>
      </c>
      <c r="H249">
        <v>7</v>
      </c>
      <c r="I249">
        <v>0</v>
      </c>
      <c r="J249" t="s">
        <v>74</v>
      </c>
      <c r="K249" t="s">
        <v>75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</row>
    <row r="250" spans="1:36" x14ac:dyDescent="0.25">
      <c r="A250">
        <v>14102</v>
      </c>
      <c r="B250" t="s">
        <v>73</v>
      </c>
      <c r="C250">
        <v>210</v>
      </c>
      <c r="D250">
        <v>0</v>
      </c>
      <c r="E250">
        <v>0</v>
      </c>
      <c r="F250">
        <v>0</v>
      </c>
      <c r="G250">
        <v>0</v>
      </c>
      <c r="H250">
        <v>11</v>
      </c>
      <c r="I250">
        <v>0</v>
      </c>
      <c r="J250" t="s">
        <v>74</v>
      </c>
      <c r="K250" t="s">
        <v>76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</row>
    <row r="251" spans="1:36" x14ac:dyDescent="0.25">
      <c r="A251">
        <v>14103</v>
      </c>
      <c r="B251" t="s">
        <v>73</v>
      </c>
      <c r="C251">
        <v>309</v>
      </c>
      <c r="D251">
        <v>0</v>
      </c>
      <c r="E251">
        <v>0</v>
      </c>
      <c r="F251">
        <v>0</v>
      </c>
      <c r="G251">
        <v>0</v>
      </c>
      <c r="H251">
        <v>16</v>
      </c>
      <c r="I251">
        <v>0</v>
      </c>
      <c r="J251" t="s">
        <v>74</v>
      </c>
      <c r="K251" t="s">
        <v>76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</row>
    <row r="252" spans="1:36" x14ac:dyDescent="0.25">
      <c r="A252">
        <v>14104</v>
      </c>
      <c r="B252" t="s">
        <v>73</v>
      </c>
      <c r="C252">
        <v>423</v>
      </c>
      <c r="D252">
        <v>0</v>
      </c>
      <c r="E252">
        <v>0</v>
      </c>
      <c r="F252">
        <v>0</v>
      </c>
      <c r="G252">
        <v>0</v>
      </c>
      <c r="H252">
        <v>23</v>
      </c>
      <c r="I252">
        <v>0</v>
      </c>
      <c r="J252" t="s">
        <v>74</v>
      </c>
      <c r="K252" t="s">
        <v>77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</row>
    <row r="253" spans="1:36" x14ac:dyDescent="0.25">
      <c r="A253">
        <v>14105</v>
      </c>
      <c r="B253" t="s">
        <v>73</v>
      </c>
      <c r="C253">
        <v>582</v>
      </c>
      <c r="D253">
        <v>0</v>
      </c>
      <c r="E253">
        <v>0</v>
      </c>
      <c r="F253">
        <v>0</v>
      </c>
      <c r="G253">
        <v>0</v>
      </c>
      <c r="H253">
        <v>31</v>
      </c>
      <c r="I253">
        <v>0</v>
      </c>
      <c r="J253" t="s">
        <v>74</v>
      </c>
      <c r="K253" t="s">
        <v>78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</row>
    <row r="254" spans="1:36" x14ac:dyDescent="0.25">
      <c r="A254">
        <v>14106</v>
      </c>
      <c r="B254" t="s">
        <v>79</v>
      </c>
      <c r="C254">
        <v>804</v>
      </c>
      <c r="D254">
        <v>0</v>
      </c>
      <c r="E254">
        <v>0</v>
      </c>
      <c r="F254">
        <v>0</v>
      </c>
      <c r="G254">
        <v>0</v>
      </c>
      <c r="H254">
        <v>43</v>
      </c>
      <c r="I254">
        <v>0</v>
      </c>
      <c r="J254" t="s">
        <v>80</v>
      </c>
      <c r="K254" t="s">
        <v>81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</row>
    <row r="255" spans="1:36" x14ac:dyDescent="0.25">
      <c r="A255">
        <v>14107</v>
      </c>
      <c r="B255" t="s">
        <v>79</v>
      </c>
      <c r="C255">
        <v>1050</v>
      </c>
      <c r="D255">
        <v>0</v>
      </c>
      <c r="E255">
        <v>0</v>
      </c>
      <c r="F255">
        <v>0</v>
      </c>
      <c r="G255">
        <v>0</v>
      </c>
      <c r="H255">
        <v>56</v>
      </c>
      <c r="I255">
        <v>0</v>
      </c>
      <c r="J255" t="s">
        <v>80</v>
      </c>
      <c r="K255" t="s">
        <v>82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</row>
    <row r="256" spans="1:36" x14ac:dyDescent="0.25">
      <c r="A256">
        <v>14108</v>
      </c>
      <c r="B256" t="s">
        <v>79</v>
      </c>
      <c r="C256">
        <v>1317</v>
      </c>
      <c r="D256">
        <v>0</v>
      </c>
      <c r="E256">
        <v>0</v>
      </c>
      <c r="F256">
        <v>0</v>
      </c>
      <c r="G256">
        <v>0</v>
      </c>
      <c r="H256">
        <v>70</v>
      </c>
      <c r="I256">
        <v>0</v>
      </c>
      <c r="J256" t="s">
        <v>80</v>
      </c>
      <c r="K256" t="s">
        <v>82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</row>
    <row r="257" spans="1:36" x14ac:dyDescent="0.25">
      <c r="A257">
        <v>14109</v>
      </c>
      <c r="B257" t="s">
        <v>79</v>
      </c>
      <c r="C257">
        <v>1602</v>
      </c>
      <c r="D257">
        <v>0</v>
      </c>
      <c r="E257">
        <v>0</v>
      </c>
      <c r="F257">
        <v>0</v>
      </c>
      <c r="G257">
        <v>0</v>
      </c>
      <c r="H257">
        <v>85</v>
      </c>
      <c r="I257">
        <v>0</v>
      </c>
      <c r="J257" t="s">
        <v>80</v>
      </c>
      <c r="K257" t="s">
        <v>82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</row>
    <row r="258" spans="1:36" x14ac:dyDescent="0.25">
      <c r="A258">
        <v>14110</v>
      </c>
      <c r="B258" t="s">
        <v>79</v>
      </c>
      <c r="C258">
        <v>1905</v>
      </c>
      <c r="D258">
        <v>0</v>
      </c>
      <c r="E258">
        <v>0</v>
      </c>
      <c r="F258">
        <v>0</v>
      </c>
      <c r="G258">
        <v>0</v>
      </c>
      <c r="H258">
        <v>102</v>
      </c>
      <c r="I258">
        <v>0</v>
      </c>
      <c r="J258" t="s">
        <v>80</v>
      </c>
      <c r="K258" t="s">
        <v>82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</row>
    <row r="259" spans="1:36" x14ac:dyDescent="0.25">
      <c r="A259">
        <v>14111</v>
      </c>
      <c r="B259" t="s">
        <v>79</v>
      </c>
      <c r="C259">
        <v>2229</v>
      </c>
      <c r="D259">
        <v>0</v>
      </c>
      <c r="E259">
        <v>0</v>
      </c>
      <c r="F259">
        <v>0</v>
      </c>
      <c r="G259">
        <v>0</v>
      </c>
      <c r="H259">
        <v>119</v>
      </c>
      <c r="I259">
        <v>0</v>
      </c>
      <c r="J259" t="s">
        <v>80</v>
      </c>
      <c r="K259" t="s">
        <v>82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</row>
    <row r="260" spans="1:36" x14ac:dyDescent="0.25">
      <c r="A260">
        <v>14112</v>
      </c>
      <c r="B260" t="s">
        <v>79</v>
      </c>
      <c r="C260">
        <v>2568</v>
      </c>
      <c r="D260">
        <v>0</v>
      </c>
      <c r="E260">
        <v>0</v>
      </c>
      <c r="F260">
        <v>0</v>
      </c>
      <c r="G260">
        <v>0</v>
      </c>
      <c r="H260">
        <v>137</v>
      </c>
      <c r="I260">
        <v>0</v>
      </c>
      <c r="J260" t="s">
        <v>80</v>
      </c>
      <c r="K260" t="s">
        <v>82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</row>
    <row r="261" spans="1:36" x14ac:dyDescent="0.25">
      <c r="A261">
        <v>14113</v>
      </c>
      <c r="B261" t="s">
        <v>79</v>
      </c>
      <c r="C261">
        <v>2925</v>
      </c>
      <c r="D261">
        <v>0</v>
      </c>
      <c r="E261">
        <v>0</v>
      </c>
      <c r="F261">
        <v>0</v>
      </c>
      <c r="G261">
        <v>0</v>
      </c>
      <c r="H261">
        <v>156</v>
      </c>
      <c r="I261">
        <v>0</v>
      </c>
      <c r="J261" t="s">
        <v>80</v>
      </c>
      <c r="K261" t="s">
        <v>82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</row>
    <row r="262" spans="1:36" x14ac:dyDescent="0.25">
      <c r="A262">
        <v>14114</v>
      </c>
      <c r="B262" t="s">
        <v>79</v>
      </c>
      <c r="C262">
        <v>3297</v>
      </c>
      <c r="D262">
        <v>0</v>
      </c>
      <c r="E262">
        <v>0</v>
      </c>
      <c r="F262">
        <v>0</v>
      </c>
      <c r="G262">
        <v>0</v>
      </c>
      <c r="H262">
        <v>176</v>
      </c>
      <c r="I262">
        <v>0</v>
      </c>
      <c r="J262" t="s">
        <v>80</v>
      </c>
      <c r="K262" t="s">
        <v>82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</row>
    <row r="263" spans="1:36" x14ac:dyDescent="0.25">
      <c r="A263">
        <v>14200</v>
      </c>
      <c r="B263" t="s">
        <v>73</v>
      </c>
      <c r="C263" s="5">
        <v>200</v>
      </c>
      <c r="D263">
        <v>0</v>
      </c>
      <c r="E263">
        <v>0</v>
      </c>
      <c r="F263">
        <v>0</v>
      </c>
      <c r="G263">
        <v>0</v>
      </c>
      <c r="H263" s="5">
        <v>20</v>
      </c>
      <c r="I263" s="5">
        <v>20</v>
      </c>
      <c r="J263" t="s">
        <v>74</v>
      </c>
      <c r="K263" t="s">
        <v>75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</row>
    <row r="264" spans="1:36" x14ac:dyDescent="0.25">
      <c r="A264">
        <v>14201</v>
      </c>
      <c r="B264" t="s">
        <v>73</v>
      </c>
      <c r="C264">
        <v>129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7</v>
      </c>
      <c r="J264" t="s">
        <v>74</v>
      </c>
      <c r="K264" t="s">
        <v>75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</row>
    <row r="265" spans="1:36" x14ac:dyDescent="0.25">
      <c r="A265">
        <v>14202</v>
      </c>
      <c r="B265" t="s">
        <v>73</v>
      </c>
      <c r="C265">
        <v>210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11</v>
      </c>
      <c r="J265" t="s">
        <v>74</v>
      </c>
      <c r="K265" t="s">
        <v>76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</row>
    <row r="266" spans="1:36" x14ac:dyDescent="0.25">
      <c r="A266">
        <v>14203</v>
      </c>
      <c r="B266" t="s">
        <v>73</v>
      </c>
      <c r="C266">
        <v>309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16</v>
      </c>
      <c r="J266" t="s">
        <v>74</v>
      </c>
      <c r="K266" t="s">
        <v>76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</row>
    <row r="267" spans="1:36" x14ac:dyDescent="0.25">
      <c r="A267">
        <v>14204</v>
      </c>
      <c r="B267" t="s">
        <v>73</v>
      </c>
      <c r="C267">
        <v>423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23</v>
      </c>
      <c r="J267" t="s">
        <v>74</v>
      </c>
      <c r="K267" t="s">
        <v>77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</row>
    <row r="268" spans="1:36" x14ac:dyDescent="0.25">
      <c r="A268">
        <v>14205</v>
      </c>
      <c r="B268" t="s">
        <v>73</v>
      </c>
      <c r="C268">
        <v>582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31</v>
      </c>
      <c r="J268" t="s">
        <v>74</v>
      </c>
      <c r="K268" t="s">
        <v>78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</row>
    <row r="269" spans="1:36" x14ac:dyDescent="0.25">
      <c r="A269">
        <v>14206</v>
      </c>
      <c r="B269" t="s">
        <v>79</v>
      </c>
      <c r="C269">
        <v>804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43</v>
      </c>
      <c r="J269" t="s">
        <v>80</v>
      </c>
      <c r="K269" t="s">
        <v>81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</row>
    <row r="270" spans="1:36" x14ac:dyDescent="0.25">
      <c r="A270">
        <v>14207</v>
      </c>
      <c r="B270" t="s">
        <v>79</v>
      </c>
      <c r="C270">
        <v>1050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56</v>
      </c>
      <c r="J270" t="s">
        <v>80</v>
      </c>
      <c r="K270" t="s">
        <v>82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</row>
    <row r="271" spans="1:36" x14ac:dyDescent="0.25">
      <c r="A271">
        <v>14208</v>
      </c>
      <c r="B271" t="s">
        <v>79</v>
      </c>
      <c r="C271">
        <v>1317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70</v>
      </c>
      <c r="J271" t="s">
        <v>80</v>
      </c>
      <c r="K271" t="s">
        <v>82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</row>
    <row r="272" spans="1:36" x14ac:dyDescent="0.25">
      <c r="A272">
        <v>14209</v>
      </c>
      <c r="B272" t="s">
        <v>79</v>
      </c>
      <c r="C272">
        <v>1602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85</v>
      </c>
      <c r="J272" t="s">
        <v>80</v>
      </c>
      <c r="K272" t="s">
        <v>82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</row>
    <row r="273" spans="1:36" x14ac:dyDescent="0.25">
      <c r="A273">
        <v>14210</v>
      </c>
      <c r="B273" t="s">
        <v>79</v>
      </c>
      <c r="C273">
        <v>1905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102</v>
      </c>
      <c r="J273" t="s">
        <v>80</v>
      </c>
      <c r="K273" t="s">
        <v>82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</row>
    <row r="274" spans="1:36" x14ac:dyDescent="0.25">
      <c r="A274">
        <v>14211</v>
      </c>
      <c r="B274" t="s">
        <v>79</v>
      </c>
      <c r="C274">
        <v>2229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119</v>
      </c>
      <c r="J274" t="s">
        <v>80</v>
      </c>
      <c r="K274" t="s">
        <v>82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</row>
    <row r="275" spans="1:36" x14ac:dyDescent="0.25">
      <c r="A275">
        <v>14212</v>
      </c>
      <c r="B275" t="s">
        <v>79</v>
      </c>
      <c r="C275">
        <v>2568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137</v>
      </c>
      <c r="J275" t="s">
        <v>80</v>
      </c>
      <c r="K275" t="s">
        <v>82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</row>
    <row r="276" spans="1:36" x14ac:dyDescent="0.25">
      <c r="A276">
        <v>14213</v>
      </c>
      <c r="B276" t="s">
        <v>79</v>
      </c>
      <c r="C276">
        <v>2925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156</v>
      </c>
      <c r="J276" t="s">
        <v>80</v>
      </c>
      <c r="K276" t="s">
        <v>82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</row>
    <row r="277" spans="1:36" x14ac:dyDescent="0.25">
      <c r="A277">
        <v>14214</v>
      </c>
      <c r="B277" t="s">
        <v>79</v>
      </c>
      <c r="C277">
        <v>3297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176</v>
      </c>
      <c r="J277" t="s">
        <v>80</v>
      </c>
      <c r="K277" t="s">
        <v>82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</row>
    <row r="278" spans="1:36" x14ac:dyDescent="0.25">
      <c r="A278">
        <v>15100</v>
      </c>
      <c r="B278" t="s">
        <v>73</v>
      </c>
      <c r="C278" s="5">
        <v>100</v>
      </c>
      <c r="D278">
        <v>0</v>
      </c>
      <c r="E278">
        <v>0</v>
      </c>
      <c r="F278">
        <v>0</v>
      </c>
      <c r="G278">
        <v>0</v>
      </c>
      <c r="H278" s="5">
        <v>10</v>
      </c>
      <c r="I278" s="5">
        <v>10</v>
      </c>
      <c r="J278" t="s">
        <v>74</v>
      </c>
      <c r="K278" t="s">
        <v>75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</row>
    <row r="279" spans="1:36" x14ac:dyDescent="0.25">
      <c r="A279">
        <v>15101</v>
      </c>
      <c r="B279" t="s">
        <v>73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6</v>
      </c>
      <c r="I279">
        <v>4</v>
      </c>
      <c r="J279" t="s">
        <v>74</v>
      </c>
      <c r="K279" t="s">
        <v>75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</row>
    <row r="280" spans="1:36" x14ac:dyDescent="0.25">
      <c r="A280">
        <v>15102</v>
      </c>
      <c r="B280" t="s">
        <v>73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9</v>
      </c>
      <c r="I280">
        <v>6</v>
      </c>
      <c r="J280" t="s">
        <v>74</v>
      </c>
      <c r="K280" t="s">
        <v>76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</row>
    <row r="281" spans="1:36" x14ac:dyDescent="0.25">
      <c r="A281">
        <v>15103</v>
      </c>
      <c r="B281" t="s">
        <v>73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14</v>
      </c>
      <c r="I281">
        <v>8</v>
      </c>
      <c r="J281" t="s">
        <v>74</v>
      </c>
      <c r="K281" t="s">
        <v>76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</row>
    <row r="282" spans="1:36" x14ac:dyDescent="0.25">
      <c r="A282">
        <v>15104</v>
      </c>
      <c r="B282" t="s">
        <v>73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22</v>
      </c>
      <c r="I282">
        <v>10</v>
      </c>
      <c r="J282" t="s">
        <v>74</v>
      </c>
      <c r="K282" t="s">
        <v>77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</row>
    <row r="283" spans="1:36" x14ac:dyDescent="0.25">
      <c r="A283">
        <v>15105</v>
      </c>
      <c r="B283" t="s">
        <v>73</v>
      </c>
      <c r="C283">
        <v>0</v>
      </c>
      <c r="D283">
        <v>0</v>
      </c>
      <c r="E283">
        <v>0</v>
      </c>
      <c r="F283">
        <v>0</v>
      </c>
      <c r="G283">
        <v>0</v>
      </c>
      <c r="H283" s="5">
        <v>14</v>
      </c>
      <c r="I283" s="5">
        <v>6</v>
      </c>
      <c r="J283" t="s">
        <v>74</v>
      </c>
      <c r="K283" t="s">
        <v>78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</row>
    <row r="284" spans="1:36" x14ac:dyDescent="0.25">
      <c r="A284">
        <v>15106</v>
      </c>
      <c r="B284" t="s">
        <v>79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43</v>
      </c>
      <c r="I284">
        <f t="shared" ref="I284:I292" si="0">ROUND(H284*0.4,0)</f>
        <v>17</v>
      </c>
      <c r="J284" t="s">
        <v>80</v>
      </c>
      <c r="K284" t="s">
        <v>81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</row>
    <row r="285" spans="1:36" x14ac:dyDescent="0.25">
      <c r="A285">
        <v>15107</v>
      </c>
      <c r="B285" t="s">
        <v>79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56</v>
      </c>
      <c r="I285">
        <f t="shared" si="0"/>
        <v>22</v>
      </c>
      <c r="J285" t="s">
        <v>80</v>
      </c>
      <c r="K285" t="s">
        <v>82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</row>
    <row r="286" spans="1:36" x14ac:dyDescent="0.25">
      <c r="A286">
        <v>15108</v>
      </c>
      <c r="B286" t="s">
        <v>79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70</v>
      </c>
      <c r="I286">
        <f t="shared" si="0"/>
        <v>28</v>
      </c>
      <c r="J286" t="s">
        <v>80</v>
      </c>
      <c r="K286" t="s">
        <v>82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</row>
    <row r="287" spans="1:36" x14ac:dyDescent="0.25">
      <c r="A287">
        <v>15109</v>
      </c>
      <c r="B287" t="s">
        <v>79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85</v>
      </c>
      <c r="I287">
        <f t="shared" si="0"/>
        <v>34</v>
      </c>
      <c r="J287" t="s">
        <v>80</v>
      </c>
      <c r="K287" t="s">
        <v>82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</row>
    <row r="288" spans="1:36" x14ac:dyDescent="0.25">
      <c r="A288">
        <v>15110</v>
      </c>
      <c r="B288" t="s">
        <v>79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102</v>
      </c>
      <c r="I288">
        <f t="shared" si="0"/>
        <v>41</v>
      </c>
      <c r="J288" t="s">
        <v>80</v>
      </c>
      <c r="K288" t="s">
        <v>82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</row>
    <row r="289" spans="1:36" x14ac:dyDescent="0.25">
      <c r="A289">
        <v>15111</v>
      </c>
      <c r="B289" t="s">
        <v>79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119</v>
      </c>
      <c r="I289">
        <f t="shared" si="0"/>
        <v>48</v>
      </c>
      <c r="J289" t="s">
        <v>80</v>
      </c>
      <c r="K289" t="s">
        <v>82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</row>
    <row r="290" spans="1:36" x14ac:dyDescent="0.25">
      <c r="A290">
        <v>15112</v>
      </c>
      <c r="B290" t="s">
        <v>79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137</v>
      </c>
      <c r="I290">
        <f t="shared" si="0"/>
        <v>55</v>
      </c>
      <c r="J290" t="s">
        <v>80</v>
      </c>
      <c r="K290" t="s">
        <v>82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</row>
    <row r="291" spans="1:36" x14ac:dyDescent="0.25">
      <c r="A291">
        <v>15113</v>
      </c>
      <c r="B291" t="s">
        <v>79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156</v>
      </c>
      <c r="I291">
        <f t="shared" si="0"/>
        <v>62</v>
      </c>
      <c r="J291" t="s">
        <v>80</v>
      </c>
      <c r="K291" t="s">
        <v>82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</row>
    <row r="292" spans="1:36" x14ac:dyDescent="0.25">
      <c r="A292">
        <v>15114</v>
      </c>
      <c r="B292" t="s">
        <v>79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176</v>
      </c>
      <c r="I292">
        <f t="shared" si="0"/>
        <v>70</v>
      </c>
      <c r="J292" t="s">
        <v>80</v>
      </c>
      <c r="K292" t="s">
        <v>82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</row>
    <row r="293" spans="1:36" x14ac:dyDescent="0.25">
      <c r="A293">
        <v>15200</v>
      </c>
      <c r="B293" t="s">
        <v>73</v>
      </c>
      <c r="C293" s="5">
        <v>100</v>
      </c>
      <c r="D293">
        <v>0</v>
      </c>
      <c r="E293">
        <v>0</v>
      </c>
      <c r="F293">
        <v>0</v>
      </c>
      <c r="G293">
        <v>0</v>
      </c>
      <c r="H293" s="5">
        <v>10</v>
      </c>
      <c r="I293" s="5">
        <v>10</v>
      </c>
      <c r="J293" t="s">
        <v>74</v>
      </c>
      <c r="K293" t="s">
        <v>75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</row>
    <row r="294" spans="1:36" x14ac:dyDescent="0.25">
      <c r="A294">
        <v>15201</v>
      </c>
      <c r="B294" t="s">
        <v>73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4</v>
      </c>
      <c r="I294">
        <v>6</v>
      </c>
      <c r="J294" t="s">
        <v>74</v>
      </c>
      <c r="K294" t="s">
        <v>75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</row>
    <row r="295" spans="1:36" x14ac:dyDescent="0.25">
      <c r="A295">
        <v>15202</v>
      </c>
      <c r="B295" t="s">
        <v>73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6</v>
      </c>
      <c r="I295">
        <v>9</v>
      </c>
      <c r="J295" t="s">
        <v>74</v>
      </c>
      <c r="K295" t="s">
        <v>76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</row>
    <row r="296" spans="1:36" x14ac:dyDescent="0.25">
      <c r="A296">
        <v>15203</v>
      </c>
      <c r="B296" t="s">
        <v>73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8</v>
      </c>
      <c r="I296">
        <v>14</v>
      </c>
      <c r="J296" t="s">
        <v>74</v>
      </c>
      <c r="K296" t="s">
        <v>76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</row>
    <row r="297" spans="1:36" x14ac:dyDescent="0.25">
      <c r="A297">
        <v>15204</v>
      </c>
      <c r="B297" t="s">
        <v>73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10</v>
      </c>
      <c r="I297">
        <v>22</v>
      </c>
      <c r="J297" t="s">
        <v>74</v>
      </c>
      <c r="K297" t="s">
        <v>77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</row>
    <row r="298" spans="1:36" x14ac:dyDescent="0.25">
      <c r="A298">
        <v>15205</v>
      </c>
      <c r="B298" t="s">
        <v>73</v>
      </c>
      <c r="C298">
        <v>0</v>
      </c>
      <c r="D298">
        <v>0</v>
      </c>
      <c r="E298">
        <v>0</v>
      </c>
      <c r="F298">
        <v>0</v>
      </c>
      <c r="G298">
        <v>0</v>
      </c>
      <c r="H298" s="5">
        <v>6</v>
      </c>
      <c r="I298" s="5">
        <v>14</v>
      </c>
      <c r="J298" t="s">
        <v>74</v>
      </c>
      <c r="K298" t="s">
        <v>78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</row>
    <row r="299" spans="1:36" x14ac:dyDescent="0.25">
      <c r="A299">
        <v>15206</v>
      </c>
      <c r="B299" t="s">
        <v>79</v>
      </c>
      <c r="C299">
        <v>0</v>
      </c>
      <c r="D299">
        <v>0</v>
      </c>
      <c r="E299">
        <v>0</v>
      </c>
      <c r="F299">
        <v>0</v>
      </c>
      <c r="G299">
        <v>0</v>
      </c>
      <c r="H299">
        <f t="shared" ref="H299:H307" si="1">ROUND(I299*0.4,0)</f>
        <v>17</v>
      </c>
      <c r="I299">
        <v>43</v>
      </c>
      <c r="J299" t="s">
        <v>80</v>
      </c>
      <c r="K299" t="s">
        <v>81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</row>
    <row r="300" spans="1:36" x14ac:dyDescent="0.25">
      <c r="A300">
        <v>15207</v>
      </c>
      <c r="B300" t="s">
        <v>79</v>
      </c>
      <c r="C300">
        <v>0</v>
      </c>
      <c r="D300">
        <v>0</v>
      </c>
      <c r="E300">
        <v>0</v>
      </c>
      <c r="F300">
        <v>0</v>
      </c>
      <c r="G300">
        <v>0</v>
      </c>
      <c r="H300">
        <f t="shared" si="1"/>
        <v>22</v>
      </c>
      <c r="I300">
        <v>56</v>
      </c>
      <c r="J300" t="s">
        <v>80</v>
      </c>
      <c r="K300" t="s">
        <v>82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</row>
    <row r="301" spans="1:36" x14ac:dyDescent="0.25">
      <c r="A301">
        <v>15208</v>
      </c>
      <c r="B301" t="s">
        <v>79</v>
      </c>
      <c r="C301">
        <v>0</v>
      </c>
      <c r="D301">
        <v>0</v>
      </c>
      <c r="E301">
        <v>0</v>
      </c>
      <c r="F301">
        <v>0</v>
      </c>
      <c r="G301">
        <v>0</v>
      </c>
      <c r="H301">
        <f t="shared" si="1"/>
        <v>28</v>
      </c>
      <c r="I301">
        <v>70</v>
      </c>
      <c r="J301" t="s">
        <v>80</v>
      </c>
      <c r="K301" t="s">
        <v>82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</row>
    <row r="302" spans="1:36" x14ac:dyDescent="0.25">
      <c r="A302">
        <v>15209</v>
      </c>
      <c r="B302" t="s">
        <v>79</v>
      </c>
      <c r="C302">
        <v>0</v>
      </c>
      <c r="D302">
        <v>0</v>
      </c>
      <c r="E302">
        <v>0</v>
      </c>
      <c r="F302">
        <v>0</v>
      </c>
      <c r="G302">
        <v>0</v>
      </c>
      <c r="H302">
        <f t="shared" si="1"/>
        <v>34</v>
      </c>
      <c r="I302">
        <v>85</v>
      </c>
      <c r="J302" t="s">
        <v>80</v>
      </c>
      <c r="K302" t="s">
        <v>82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</row>
    <row r="303" spans="1:36" x14ac:dyDescent="0.25">
      <c r="A303">
        <v>15210</v>
      </c>
      <c r="B303" t="s">
        <v>79</v>
      </c>
      <c r="C303">
        <v>0</v>
      </c>
      <c r="D303">
        <v>0</v>
      </c>
      <c r="E303">
        <v>0</v>
      </c>
      <c r="F303">
        <v>0</v>
      </c>
      <c r="G303">
        <v>0</v>
      </c>
      <c r="H303">
        <f t="shared" si="1"/>
        <v>41</v>
      </c>
      <c r="I303">
        <v>102</v>
      </c>
      <c r="J303" t="s">
        <v>80</v>
      </c>
      <c r="K303" t="s">
        <v>82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</row>
    <row r="304" spans="1:36" x14ac:dyDescent="0.25">
      <c r="A304">
        <v>15211</v>
      </c>
      <c r="B304" t="s">
        <v>79</v>
      </c>
      <c r="C304">
        <v>0</v>
      </c>
      <c r="D304">
        <v>0</v>
      </c>
      <c r="E304">
        <v>0</v>
      </c>
      <c r="F304">
        <v>0</v>
      </c>
      <c r="G304">
        <v>0</v>
      </c>
      <c r="H304">
        <f t="shared" si="1"/>
        <v>48</v>
      </c>
      <c r="I304">
        <v>119</v>
      </c>
      <c r="J304" t="s">
        <v>80</v>
      </c>
      <c r="K304" t="s">
        <v>82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</row>
    <row r="305" spans="1:36" x14ac:dyDescent="0.25">
      <c r="A305">
        <v>15212</v>
      </c>
      <c r="B305" t="s">
        <v>79</v>
      </c>
      <c r="C305">
        <v>0</v>
      </c>
      <c r="D305">
        <v>0</v>
      </c>
      <c r="E305">
        <v>0</v>
      </c>
      <c r="F305">
        <v>0</v>
      </c>
      <c r="G305">
        <v>0</v>
      </c>
      <c r="H305">
        <f t="shared" si="1"/>
        <v>55</v>
      </c>
      <c r="I305">
        <v>137</v>
      </c>
      <c r="J305" t="s">
        <v>80</v>
      </c>
      <c r="K305" t="s">
        <v>82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</row>
    <row r="306" spans="1:36" x14ac:dyDescent="0.25">
      <c r="A306">
        <v>15213</v>
      </c>
      <c r="B306" t="s">
        <v>79</v>
      </c>
      <c r="C306">
        <v>0</v>
      </c>
      <c r="D306">
        <v>0</v>
      </c>
      <c r="E306">
        <v>0</v>
      </c>
      <c r="F306">
        <v>0</v>
      </c>
      <c r="G306">
        <v>0</v>
      </c>
      <c r="H306">
        <f t="shared" si="1"/>
        <v>62</v>
      </c>
      <c r="I306">
        <v>156</v>
      </c>
      <c r="J306" t="s">
        <v>80</v>
      </c>
      <c r="K306" t="s">
        <v>82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</row>
    <row r="307" spans="1:36" x14ac:dyDescent="0.25">
      <c r="A307">
        <v>15214</v>
      </c>
      <c r="B307" t="s">
        <v>79</v>
      </c>
      <c r="C307">
        <v>0</v>
      </c>
      <c r="D307">
        <v>0</v>
      </c>
      <c r="E307">
        <v>0</v>
      </c>
      <c r="F307">
        <v>0</v>
      </c>
      <c r="G307">
        <v>0</v>
      </c>
      <c r="H307">
        <f t="shared" si="1"/>
        <v>70</v>
      </c>
      <c r="I307">
        <v>176</v>
      </c>
      <c r="J307" t="s">
        <v>80</v>
      </c>
      <c r="K307" t="s">
        <v>82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</row>
    <row r="308" spans="1:36" x14ac:dyDescent="0.25">
      <c r="A308">
        <v>16100</v>
      </c>
      <c r="B308" t="s">
        <v>73</v>
      </c>
      <c r="C308">
        <v>0</v>
      </c>
      <c r="D308">
        <v>0</v>
      </c>
      <c r="E308">
        <v>0</v>
      </c>
      <c r="F308">
        <v>0</v>
      </c>
      <c r="G308">
        <v>0</v>
      </c>
      <c r="H308" s="5">
        <v>10</v>
      </c>
      <c r="I308" s="5">
        <v>10</v>
      </c>
      <c r="J308" t="s">
        <v>74</v>
      </c>
      <c r="K308" t="s">
        <v>75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</row>
    <row r="309" spans="1:36" x14ac:dyDescent="0.25">
      <c r="A309">
        <v>16101</v>
      </c>
      <c r="B309" t="s">
        <v>73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6</v>
      </c>
      <c r="I309">
        <v>4</v>
      </c>
      <c r="J309" t="s">
        <v>74</v>
      </c>
      <c r="K309" t="s">
        <v>75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</row>
    <row r="310" spans="1:36" x14ac:dyDescent="0.25">
      <c r="A310">
        <v>16102</v>
      </c>
      <c r="B310" t="s">
        <v>73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9</v>
      </c>
      <c r="I310">
        <v>6</v>
      </c>
      <c r="J310" t="s">
        <v>74</v>
      </c>
      <c r="K310" t="s">
        <v>76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</row>
    <row r="311" spans="1:36" x14ac:dyDescent="0.25">
      <c r="A311">
        <v>16103</v>
      </c>
      <c r="B311" t="s">
        <v>73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14</v>
      </c>
      <c r="I311">
        <v>8</v>
      </c>
      <c r="J311" t="s">
        <v>74</v>
      </c>
      <c r="K311" t="s">
        <v>76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</row>
    <row r="312" spans="1:36" x14ac:dyDescent="0.25">
      <c r="A312">
        <v>16104</v>
      </c>
      <c r="B312" t="s">
        <v>73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22</v>
      </c>
      <c r="I312">
        <v>10</v>
      </c>
      <c r="J312" t="s">
        <v>74</v>
      </c>
      <c r="K312" t="s">
        <v>77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</row>
    <row r="313" spans="1:36" x14ac:dyDescent="0.25">
      <c r="A313">
        <v>16105</v>
      </c>
      <c r="B313" t="s">
        <v>73</v>
      </c>
      <c r="C313">
        <v>0</v>
      </c>
      <c r="D313">
        <v>0</v>
      </c>
      <c r="E313">
        <v>0</v>
      </c>
      <c r="F313">
        <v>0</v>
      </c>
      <c r="G313">
        <v>0</v>
      </c>
      <c r="H313" s="5">
        <v>18</v>
      </c>
      <c r="I313" s="5">
        <v>7</v>
      </c>
      <c r="J313" t="s">
        <v>74</v>
      </c>
      <c r="K313" t="s">
        <v>78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</row>
    <row r="314" spans="1:36" x14ac:dyDescent="0.25">
      <c r="A314">
        <v>16106</v>
      </c>
      <c r="B314" t="s">
        <v>79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43</v>
      </c>
      <c r="I314">
        <f t="shared" ref="I314:I322" si="2">ROUND(H314*0.4,0)</f>
        <v>17</v>
      </c>
      <c r="J314" t="s">
        <v>80</v>
      </c>
      <c r="K314" t="s">
        <v>81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</row>
    <row r="315" spans="1:36" x14ac:dyDescent="0.25">
      <c r="A315">
        <v>16107</v>
      </c>
      <c r="B315" t="s">
        <v>79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56</v>
      </c>
      <c r="I315">
        <f t="shared" si="2"/>
        <v>22</v>
      </c>
      <c r="J315" t="s">
        <v>80</v>
      </c>
      <c r="K315" t="s">
        <v>82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</row>
    <row r="316" spans="1:36" x14ac:dyDescent="0.25">
      <c r="A316">
        <v>16108</v>
      </c>
      <c r="B316" t="s">
        <v>79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70</v>
      </c>
      <c r="I316">
        <f t="shared" si="2"/>
        <v>28</v>
      </c>
      <c r="J316" t="s">
        <v>80</v>
      </c>
      <c r="K316" t="s">
        <v>82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</row>
    <row r="317" spans="1:36" x14ac:dyDescent="0.25">
      <c r="A317">
        <v>16109</v>
      </c>
      <c r="B317" t="s">
        <v>79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85</v>
      </c>
      <c r="I317">
        <f t="shared" si="2"/>
        <v>34</v>
      </c>
      <c r="J317" t="s">
        <v>80</v>
      </c>
      <c r="K317" t="s">
        <v>82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</row>
    <row r="318" spans="1:36" x14ac:dyDescent="0.25">
      <c r="A318">
        <v>16110</v>
      </c>
      <c r="B318" t="s">
        <v>79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102</v>
      </c>
      <c r="I318">
        <f t="shared" si="2"/>
        <v>41</v>
      </c>
      <c r="J318" t="s">
        <v>80</v>
      </c>
      <c r="K318" t="s">
        <v>82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</row>
    <row r="319" spans="1:36" x14ac:dyDescent="0.25">
      <c r="A319">
        <v>16111</v>
      </c>
      <c r="B319" t="s">
        <v>79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119</v>
      </c>
      <c r="I319">
        <f t="shared" si="2"/>
        <v>48</v>
      </c>
      <c r="J319" t="s">
        <v>80</v>
      </c>
      <c r="K319" t="s">
        <v>82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</row>
    <row r="320" spans="1:36" x14ac:dyDescent="0.25">
      <c r="A320">
        <v>16112</v>
      </c>
      <c r="B320" t="s">
        <v>79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137</v>
      </c>
      <c r="I320">
        <f t="shared" si="2"/>
        <v>55</v>
      </c>
      <c r="J320" t="s">
        <v>80</v>
      </c>
      <c r="K320" t="s">
        <v>82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</row>
    <row r="321" spans="1:36" x14ac:dyDescent="0.25">
      <c r="A321">
        <v>16113</v>
      </c>
      <c r="B321" t="s">
        <v>79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156</v>
      </c>
      <c r="I321">
        <f t="shared" si="2"/>
        <v>62</v>
      </c>
      <c r="J321" t="s">
        <v>80</v>
      </c>
      <c r="K321" t="s">
        <v>82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</row>
    <row r="322" spans="1:36" x14ac:dyDescent="0.25">
      <c r="A322">
        <v>16114</v>
      </c>
      <c r="B322" t="s">
        <v>79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176</v>
      </c>
      <c r="I322">
        <f t="shared" si="2"/>
        <v>70</v>
      </c>
      <c r="J322" t="s">
        <v>80</v>
      </c>
      <c r="K322" t="s">
        <v>82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</row>
    <row r="323" spans="1:36" x14ac:dyDescent="0.25">
      <c r="A323">
        <v>16200</v>
      </c>
      <c r="B323" t="s">
        <v>73</v>
      </c>
      <c r="C323">
        <v>0</v>
      </c>
      <c r="D323">
        <v>0</v>
      </c>
      <c r="E323">
        <v>0</v>
      </c>
      <c r="F323">
        <v>0</v>
      </c>
      <c r="G323">
        <v>0</v>
      </c>
      <c r="H323" s="5">
        <v>10</v>
      </c>
      <c r="I323" s="5">
        <v>10</v>
      </c>
      <c r="J323" t="s">
        <v>74</v>
      </c>
      <c r="K323" t="s">
        <v>75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</row>
    <row r="324" spans="1:36" x14ac:dyDescent="0.25">
      <c r="A324">
        <v>16201</v>
      </c>
      <c r="B324" t="s">
        <v>73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4</v>
      </c>
      <c r="I324">
        <v>6</v>
      </c>
      <c r="J324" t="s">
        <v>74</v>
      </c>
      <c r="K324" t="s">
        <v>75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</row>
    <row r="325" spans="1:36" x14ac:dyDescent="0.25">
      <c r="A325">
        <v>16202</v>
      </c>
      <c r="B325" t="s">
        <v>73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6</v>
      </c>
      <c r="I325">
        <v>9</v>
      </c>
      <c r="J325" t="s">
        <v>74</v>
      </c>
      <c r="K325" t="s">
        <v>76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</row>
    <row r="326" spans="1:36" x14ac:dyDescent="0.25">
      <c r="A326">
        <v>16203</v>
      </c>
      <c r="B326" t="s">
        <v>73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8</v>
      </c>
      <c r="I326">
        <v>14</v>
      </c>
      <c r="J326" t="s">
        <v>74</v>
      </c>
      <c r="K326" t="s">
        <v>76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</row>
    <row r="327" spans="1:36" x14ac:dyDescent="0.25">
      <c r="A327">
        <v>16204</v>
      </c>
      <c r="B327" t="s">
        <v>73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10</v>
      </c>
      <c r="I327">
        <v>22</v>
      </c>
      <c r="J327" t="s">
        <v>74</v>
      </c>
      <c r="K327" t="s">
        <v>77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</row>
    <row r="328" spans="1:36" x14ac:dyDescent="0.25">
      <c r="A328">
        <v>16205</v>
      </c>
      <c r="B328" t="s">
        <v>73</v>
      </c>
      <c r="C328">
        <v>0</v>
      </c>
      <c r="D328">
        <v>0</v>
      </c>
      <c r="E328">
        <v>0</v>
      </c>
      <c r="F328">
        <v>0</v>
      </c>
      <c r="G328">
        <v>0</v>
      </c>
      <c r="H328" s="5">
        <v>7</v>
      </c>
      <c r="I328" s="5">
        <v>18</v>
      </c>
      <c r="J328" t="s">
        <v>74</v>
      </c>
      <c r="K328" t="s">
        <v>78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</row>
    <row r="329" spans="1:36" x14ac:dyDescent="0.25">
      <c r="A329">
        <v>16206</v>
      </c>
      <c r="B329" t="s">
        <v>79</v>
      </c>
      <c r="C329">
        <v>0</v>
      </c>
      <c r="D329">
        <v>0</v>
      </c>
      <c r="E329">
        <v>0</v>
      </c>
      <c r="F329">
        <v>0</v>
      </c>
      <c r="G329">
        <v>0</v>
      </c>
      <c r="H329">
        <f>ROUND(I329*0.4,0)</f>
        <v>17</v>
      </c>
      <c r="I329">
        <v>43</v>
      </c>
      <c r="J329" t="s">
        <v>80</v>
      </c>
      <c r="K329" t="s">
        <v>81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</row>
    <row r="330" spans="1:36" x14ac:dyDescent="0.25">
      <c r="A330">
        <v>16207</v>
      </c>
      <c r="B330" t="s">
        <v>79</v>
      </c>
      <c r="C330">
        <v>0</v>
      </c>
      <c r="D330">
        <v>0</v>
      </c>
      <c r="E330">
        <v>0</v>
      </c>
      <c r="F330">
        <v>0</v>
      </c>
      <c r="G330">
        <v>0</v>
      </c>
      <c r="H330">
        <f t="shared" ref="H330:H337" si="3">ROUND(I330*0.4,0)</f>
        <v>22</v>
      </c>
      <c r="I330">
        <v>56</v>
      </c>
      <c r="J330" t="s">
        <v>80</v>
      </c>
      <c r="K330" t="s">
        <v>82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</row>
    <row r="331" spans="1:36" x14ac:dyDescent="0.25">
      <c r="A331">
        <v>16208</v>
      </c>
      <c r="B331" t="s">
        <v>79</v>
      </c>
      <c r="C331">
        <v>0</v>
      </c>
      <c r="D331">
        <v>0</v>
      </c>
      <c r="E331">
        <v>0</v>
      </c>
      <c r="F331">
        <v>0</v>
      </c>
      <c r="G331">
        <v>0</v>
      </c>
      <c r="H331">
        <f t="shared" si="3"/>
        <v>28</v>
      </c>
      <c r="I331">
        <v>70</v>
      </c>
      <c r="J331" t="s">
        <v>80</v>
      </c>
      <c r="K331" t="s">
        <v>82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</row>
    <row r="332" spans="1:36" x14ac:dyDescent="0.25">
      <c r="A332">
        <v>16209</v>
      </c>
      <c r="B332" t="s">
        <v>79</v>
      </c>
      <c r="C332">
        <v>0</v>
      </c>
      <c r="D332">
        <v>0</v>
      </c>
      <c r="E332">
        <v>0</v>
      </c>
      <c r="F332">
        <v>0</v>
      </c>
      <c r="G332">
        <v>0</v>
      </c>
      <c r="H332">
        <f t="shared" si="3"/>
        <v>34</v>
      </c>
      <c r="I332">
        <v>85</v>
      </c>
      <c r="J332" t="s">
        <v>80</v>
      </c>
      <c r="K332" t="s">
        <v>82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</row>
    <row r="333" spans="1:36" x14ac:dyDescent="0.25">
      <c r="A333">
        <v>16210</v>
      </c>
      <c r="B333" t="s">
        <v>79</v>
      </c>
      <c r="C333">
        <v>0</v>
      </c>
      <c r="D333">
        <v>0</v>
      </c>
      <c r="E333">
        <v>0</v>
      </c>
      <c r="F333">
        <v>0</v>
      </c>
      <c r="G333">
        <v>0</v>
      </c>
      <c r="H333">
        <f t="shared" si="3"/>
        <v>41</v>
      </c>
      <c r="I333">
        <v>102</v>
      </c>
      <c r="J333" t="s">
        <v>80</v>
      </c>
      <c r="K333" t="s">
        <v>82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</row>
    <row r="334" spans="1:36" x14ac:dyDescent="0.25">
      <c r="A334">
        <v>16211</v>
      </c>
      <c r="B334" t="s">
        <v>79</v>
      </c>
      <c r="C334">
        <v>0</v>
      </c>
      <c r="D334">
        <v>0</v>
      </c>
      <c r="E334">
        <v>0</v>
      </c>
      <c r="F334">
        <v>0</v>
      </c>
      <c r="G334">
        <v>0</v>
      </c>
      <c r="H334">
        <f t="shared" si="3"/>
        <v>48</v>
      </c>
      <c r="I334">
        <v>119</v>
      </c>
      <c r="J334" t="s">
        <v>80</v>
      </c>
      <c r="K334" t="s">
        <v>82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</row>
    <row r="335" spans="1:36" x14ac:dyDescent="0.25">
      <c r="A335">
        <v>16212</v>
      </c>
      <c r="B335" t="s">
        <v>79</v>
      </c>
      <c r="C335">
        <v>0</v>
      </c>
      <c r="D335">
        <v>0</v>
      </c>
      <c r="E335">
        <v>0</v>
      </c>
      <c r="F335">
        <v>0</v>
      </c>
      <c r="G335">
        <v>0</v>
      </c>
      <c r="H335">
        <f t="shared" si="3"/>
        <v>55</v>
      </c>
      <c r="I335">
        <v>137</v>
      </c>
      <c r="J335" t="s">
        <v>80</v>
      </c>
      <c r="K335" t="s">
        <v>82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</row>
    <row r="336" spans="1:36" x14ac:dyDescent="0.25">
      <c r="A336">
        <v>16213</v>
      </c>
      <c r="B336" t="s">
        <v>79</v>
      </c>
      <c r="C336">
        <v>0</v>
      </c>
      <c r="D336">
        <v>0</v>
      </c>
      <c r="E336">
        <v>0</v>
      </c>
      <c r="F336">
        <v>0</v>
      </c>
      <c r="G336">
        <v>0</v>
      </c>
      <c r="H336">
        <f t="shared" si="3"/>
        <v>62</v>
      </c>
      <c r="I336">
        <v>156</v>
      </c>
      <c r="J336" t="s">
        <v>80</v>
      </c>
      <c r="K336" t="s">
        <v>82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</row>
    <row r="337" spans="1:36" x14ac:dyDescent="0.25">
      <c r="A337">
        <v>16214</v>
      </c>
      <c r="B337" t="s">
        <v>79</v>
      </c>
      <c r="C337">
        <v>0</v>
      </c>
      <c r="D337">
        <v>0</v>
      </c>
      <c r="E337">
        <v>0</v>
      </c>
      <c r="F337">
        <v>0</v>
      </c>
      <c r="G337">
        <v>0</v>
      </c>
      <c r="H337">
        <f t="shared" si="3"/>
        <v>70</v>
      </c>
      <c r="I337">
        <v>176</v>
      </c>
      <c r="J337" t="s">
        <v>80</v>
      </c>
      <c r="K337" t="s">
        <v>82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</row>
    <row r="338" spans="1:36" x14ac:dyDescent="0.25">
      <c r="A338">
        <v>17100</v>
      </c>
      <c r="B338" t="s">
        <v>73</v>
      </c>
      <c r="C338">
        <v>0</v>
      </c>
      <c r="D338">
        <v>0</v>
      </c>
      <c r="E338">
        <v>0</v>
      </c>
      <c r="F338">
        <v>0</v>
      </c>
      <c r="G338">
        <v>0</v>
      </c>
      <c r="H338" s="5">
        <v>10</v>
      </c>
      <c r="I338" s="5">
        <v>10</v>
      </c>
      <c r="J338" t="s">
        <v>74</v>
      </c>
      <c r="K338" t="s">
        <v>75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</row>
    <row r="339" spans="1:36" x14ac:dyDescent="0.25">
      <c r="A339">
        <v>17101</v>
      </c>
      <c r="B339" t="s">
        <v>73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4</v>
      </c>
      <c r="I339">
        <v>3</v>
      </c>
      <c r="J339" t="s">
        <v>74</v>
      </c>
      <c r="K339" t="s">
        <v>75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</row>
    <row r="340" spans="1:36" x14ac:dyDescent="0.25">
      <c r="A340">
        <v>17102</v>
      </c>
      <c r="B340" t="s">
        <v>73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7</v>
      </c>
      <c r="I340">
        <v>4</v>
      </c>
      <c r="J340" t="s">
        <v>74</v>
      </c>
      <c r="K340" t="s">
        <v>76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</row>
    <row r="341" spans="1:36" x14ac:dyDescent="0.25">
      <c r="A341">
        <v>17103</v>
      </c>
      <c r="B341" t="s">
        <v>73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11</v>
      </c>
      <c r="I341">
        <v>6</v>
      </c>
      <c r="J341" t="s">
        <v>74</v>
      </c>
      <c r="K341" t="s">
        <v>76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</row>
    <row r="342" spans="1:36" x14ac:dyDescent="0.25">
      <c r="A342">
        <v>17104</v>
      </c>
      <c r="B342" t="s">
        <v>73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16</v>
      </c>
      <c r="I342">
        <v>8</v>
      </c>
      <c r="J342" t="s">
        <v>74</v>
      </c>
      <c r="K342" t="s">
        <v>77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</row>
    <row r="343" spans="1:36" x14ac:dyDescent="0.25">
      <c r="A343">
        <v>17105</v>
      </c>
      <c r="B343" t="s">
        <v>73</v>
      </c>
      <c r="C343">
        <v>0</v>
      </c>
      <c r="D343">
        <v>0</v>
      </c>
      <c r="E343">
        <v>0</v>
      </c>
      <c r="F343">
        <v>0</v>
      </c>
      <c r="G343">
        <v>0</v>
      </c>
      <c r="H343" s="5">
        <v>25</v>
      </c>
      <c r="I343" s="5">
        <v>10</v>
      </c>
      <c r="J343" t="s">
        <v>74</v>
      </c>
      <c r="K343" t="s">
        <v>78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</row>
    <row r="344" spans="1:36" x14ac:dyDescent="0.25">
      <c r="A344">
        <v>17106</v>
      </c>
      <c r="B344" t="s">
        <v>79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32</v>
      </c>
      <c r="I344">
        <f t="shared" ref="I344:I352" si="4">ROUND(H344*0.4,0)</f>
        <v>13</v>
      </c>
      <c r="J344" t="s">
        <v>80</v>
      </c>
      <c r="K344" t="s">
        <v>81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</row>
    <row r="345" spans="1:36" x14ac:dyDescent="0.25">
      <c r="A345">
        <v>17107</v>
      </c>
      <c r="B345" t="s">
        <v>79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42</v>
      </c>
      <c r="I345">
        <f t="shared" si="4"/>
        <v>17</v>
      </c>
      <c r="J345" t="s">
        <v>80</v>
      </c>
      <c r="K345" t="s">
        <v>82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</row>
    <row r="346" spans="1:36" x14ac:dyDescent="0.25">
      <c r="A346">
        <v>17108</v>
      </c>
      <c r="B346" t="s">
        <v>79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53</v>
      </c>
      <c r="I346">
        <f t="shared" si="4"/>
        <v>21</v>
      </c>
      <c r="J346" t="s">
        <v>80</v>
      </c>
      <c r="K346" t="s">
        <v>82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</row>
    <row r="347" spans="1:36" x14ac:dyDescent="0.25">
      <c r="A347">
        <v>17109</v>
      </c>
      <c r="B347" t="s">
        <v>79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64</v>
      </c>
      <c r="I347">
        <f t="shared" si="4"/>
        <v>26</v>
      </c>
      <c r="J347" t="s">
        <v>80</v>
      </c>
      <c r="K347" t="s">
        <v>82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</row>
    <row r="348" spans="1:36" x14ac:dyDescent="0.25">
      <c r="A348">
        <v>17110</v>
      </c>
      <c r="B348" t="s">
        <v>79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76</v>
      </c>
      <c r="I348">
        <f t="shared" si="4"/>
        <v>30</v>
      </c>
      <c r="J348" t="s">
        <v>80</v>
      </c>
      <c r="K348" t="s">
        <v>82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</row>
    <row r="349" spans="1:36" x14ac:dyDescent="0.25">
      <c r="A349">
        <v>17111</v>
      </c>
      <c r="B349" t="s">
        <v>79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89</v>
      </c>
      <c r="I349">
        <f t="shared" si="4"/>
        <v>36</v>
      </c>
      <c r="J349" t="s">
        <v>80</v>
      </c>
      <c r="K349" t="s">
        <v>82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</row>
    <row r="350" spans="1:36" x14ac:dyDescent="0.25">
      <c r="A350">
        <v>17112</v>
      </c>
      <c r="B350" t="s">
        <v>79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103</v>
      </c>
      <c r="I350">
        <f t="shared" si="4"/>
        <v>41</v>
      </c>
      <c r="J350" t="s">
        <v>80</v>
      </c>
      <c r="K350" t="s">
        <v>82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</row>
    <row r="351" spans="1:36" x14ac:dyDescent="0.25">
      <c r="A351">
        <v>17113</v>
      </c>
      <c r="B351" t="s">
        <v>79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117</v>
      </c>
      <c r="I351">
        <f t="shared" si="4"/>
        <v>47</v>
      </c>
      <c r="J351" t="s">
        <v>80</v>
      </c>
      <c r="K351" t="s">
        <v>82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</row>
    <row r="352" spans="1:36" x14ac:dyDescent="0.25">
      <c r="A352">
        <v>17114</v>
      </c>
      <c r="B352" t="s">
        <v>79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132</v>
      </c>
      <c r="I352">
        <f t="shared" si="4"/>
        <v>53</v>
      </c>
      <c r="J352" t="s">
        <v>80</v>
      </c>
      <c r="K352" t="s">
        <v>82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</row>
    <row r="353" spans="1:36" x14ac:dyDescent="0.25">
      <c r="A353">
        <v>17200</v>
      </c>
      <c r="B353" t="s">
        <v>73</v>
      </c>
      <c r="C353">
        <v>0</v>
      </c>
      <c r="D353">
        <v>0</v>
      </c>
      <c r="E353">
        <v>0</v>
      </c>
      <c r="F353">
        <v>0</v>
      </c>
      <c r="G353">
        <v>0</v>
      </c>
      <c r="H353" s="5">
        <v>10</v>
      </c>
      <c r="I353" s="5">
        <v>10</v>
      </c>
      <c r="J353" t="s">
        <v>74</v>
      </c>
      <c r="K353" t="s">
        <v>75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</row>
    <row r="354" spans="1:36" x14ac:dyDescent="0.25">
      <c r="A354">
        <v>17201</v>
      </c>
      <c r="B354" t="s">
        <v>73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3</v>
      </c>
      <c r="I354">
        <v>4</v>
      </c>
      <c r="J354" t="s">
        <v>74</v>
      </c>
      <c r="K354" t="s">
        <v>75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</row>
    <row r="355" spans="1:36" x14ac:dyDescent="0.25">
      <c r="A355">
        <v>17202</v>
      </c>
      <c r="B355" t="s">
        <v>73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4</v>
      </c>
      <c r="I355">
        <v>7</v>
      </c>
      <c r="J355" t="s">
        <v>74</v>
      </c>
      <c r="K355" t="s">
        <v>76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</row>
    <row r="356" spans="1:36" x14ac:dyDescent="0.25">
      <c r="A356">
        <v>17203</v>
      </c>
      <c r="B356" t="s">
        <v>73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6</v>
      </c>
      <c r="I356">
        <v>11</v>
      </c>
      <c r="J356" t="s">
        <v>74</v>
      </c>
      <c r="K356" t="s">
        <v>76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</row>
    <row r="357" spans="1:36" x14ac:dyDescent="0.25">
      <c r="A357">
        <v>17204</v>
      </c>
      <c r="B357" t="s">
        <v>73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8</v>
      </c>
      <c r="I357">
        <v>16</v>
      </c>
      <c r="J357" t="s">
        <v>74</v>
      </c>
      <c r="K357" t="s">
        <v>77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</row>
    <row r="358" spans="1:36" x14ac:dyDescent="0.25">
      <c r="A358">
        <v>17205</v>
      </c>
      <c r="B358" t="s">
        <v>73</v>
      </c>
      <c r="C358">
        <v>0</v>
      </c>
      <c r="D358">
        <v>0</v>
      </c>
      <c r="E358">
        <v>0</v>
      </c>
      <c r="F358">
        <v>0</v>
      </c>
      <c r="G358">
        <v>0</v>
      </c>
      <c r="H358" s="5">
        <v>10</v>
      </c>
      <c r="I358" s="5">
        <v>25</v>
      </c>
      <c r="J358" t="s">
        <v>74</v>
      </c>
      <c r="K358" t="s">
        <v>78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</row>
    <row r="359" spans="1:36" x14ac:dyDescent="0.25">
      <c r="A359">
        <v>17206</v>
      </c>
      <c r="B359" t="s">
        <v>79</v>
      </c>
      <c r="C359">
        <v>0</v>
      </c>
      <c r="D359">
        <v>0</v>
      </c>
      <c r="E359">
        <v>0</v>
      </c>
      <c r="F359">
        <v>0</v>
      </c>
      <c r="G359">
        <v>0</v>
      </c>
      <c r="H359">
        <f t="shared" ref="H359:H367" si="5">ROUND(I359*0.4,0)</f>
        <v>13</v>
      </c>
      <c r="I359">
        <v>32</v>
      </c>
      <c r="J359" t="s">
        <v>80</v>
      </c>
      <c r="K359" t="s">
        <v>81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</row>
    <row r="360" spans="1:36" x14ac:dyDescent="0.25">
      <c r="A360">
        <v>17207</v>
      </c>
      <c r="B360" t="s">
        <v>79</v>
      </c>
      <c r="C360">
        <v>0</v>
      </c>
      <c r="D360">
        <v>0</v>
      </c>
      <c r="E360">
        <v>0</v>
      </c>
      <c r="F360">
        <v>0</v>
      </c>
      <c r="G360">
        <v>0</v>
      </c>
      <c r="H360">
        <f t="shared" si="5"/>
        <v>17</v>
      </c>
      <c r="I360">
        <v>42</v>
      </c>
      <c r="J360" t="s">
        <v>80</v>
      </c>
      <c r="K360" t="s">
        <v>82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</row>
    <row r="361" spans="1:36" x14ac:dyDescent="0.25">
      <c r="A361">
        <v>17208</v>
      </c>
      <c r="B361" t="s">
        <v>79</v>
      </c>
      <c r="C361">
        <v>0</v>
      </c>
      <c r="D361">
        <v>0</v>
      </c>
      <c r="E361">
        <v>0</v>
      </c>
      <c r="F361">
        <v>0</v>
      </c>
      <c r="G361">
        <v>0</v>
      </c>
      <c r="H361">
        <f t="shared" si="5"/>
        <v>21</v>
      </c>
      <c r="I361">
        <v>53</v>
      </c>
      <c r="J361" t="s">
        <v>80</v>
      </c>
      <c r="K361" t="s">
        <v>82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</row>
    <row r="362" spans="1:36" x14ac:dyDescent="0.25">
      <c r="A362">
        <v>17209</v>
      </c>
      <c r="B362" t="s">
        <v>79</v>
      </c>
      <c r="C362">
        <v>0</v>
      </c>
      <c r="D362">
        <v>0</v>
      </c>
      <c r="E362">
        <v>0</v>
      </c>
      <c r="F362">
        <v>0</v>
      </c>
      <c r="G362">
        <v>0</v>
      </c>
      <c r="H362">
        <f t="shared" si="5"/>
        <v>26</v>
      </c>
      <c r="I362">
        <v>64</v>
      </c>
      <c r="J362" t="s">
        <v>80</v>
      </c>
      <c r="K362" t="s">
        <v>82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</row>
    <row r="363" spans="1:36" x14ac:dyDescent="0.25">
      <c r="A363">
        <v>17210</v>
      </c>
      <c r="B363" t="s">
        <v>79</v>
      </c>
      <c r="C363">
        <v>0</v>
      </c>
      <c r="D363">
        <v>0</v>
      </c>
      <c r="E363">
        <v>0</v>
      </c>
      <c r="F363">
        <v>0</v>
      </c>
      <c r="G363">
        <v>0</v>
      </c>
      <c r="H363">
        <f t="shared" si="5"/>
        <v>30</v>
      </c>
      <c r="I363">
        <v>76</v>
      </c>
      <c r="J363" t="s">
        <v>80</v>
      </c>
      <c r="K363" t="s">
        <v>82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</row>
    <row r="364" spans="1:36" x14ac:dyDescent="0.25">
      <c r="A364">
        <v>17211</v>
      </c>
      <c r="B364" t="s">
        <v>79</v>
      </c>
      <c r="C364">
        <v>0</v>
      </c>
      <c r="D364">
        <v>0</v>
      </c>
      <c r="E364">
        <v>0</v>
      </c>
      <c r="F364">
        <v>0</v>
      </c>
      <c r="G364">
        <v>0</v>
      </c>
      <c r="H364">
        <f t="shared" si="5"/>
        <v>36</v>
      </c>
      <c r="I364">
        <v>89</v>
      </c>
      <c r="J364" t="s">
        <v>80</v>
      </c>
      <c r="K364" t="s">
        <v>82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</row>
    <row r="365" spans="1:36" x14ac:dyDescent="0.25">
      <c r="A365">
        <v>17212</v>
      </c>
      <c r="B365" t="s">
        <v>79</v>
      </c>
      <c r="C365">
        <v>0</v>
      </c>
      <c r="D365">
        <v>0</v>
      </c>
      <c r="E365">
        <v>0</v>
      </c>
      <c r="F365">
        <v>0</v>
      </c>
      <c r="G365">
        <v>0</v>
      </c>
      <c r="H365">
        <f t="shared" si="5"/>
        <v>41</v>
      </c>
      <c r="I365">
        <v>103</v>
      </c>
      <c r="J365" t="s">
        <v>80</v>
      </c>
      <c r="K365" t="s">
        <v>82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</row>
    <row r="366" spans="1:36" x14ac:dyDescent="0.25">
      <c r="A366">
        <v>17213</v>
      </c>
      <c r="B366" t="s">
        <v>79</v>
      </c>
      <c r="C366">
        <v>0</v>
      </c>
      <c r="D366">
        <v>0</v>
      </c>
      <c r="E366">
        <v>0</v>
      </c>
      <c r="F366">
        <v>0</v>
      </c>
      <c r="G366">
        <v>0</v>
      </c>
      <c r="H366">
        <f t="shared" si="5"/>
        <v>47</v>
      </c>
      <c r="I366">
        <v>117</v>
      </c>
      <c r="J366" t="s">
        <v>80</v>
      </c>
      <c r="K366" t="s">
        <v>82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</row>
    <row r="367" spans="1:36" x14ac:dyDescent="0.25">
      <c r="A367">
        <v>17214</v>
      </c>
      <c r="B367" t="s">
        <v>79</v>
      </c>
      <c r="C367">
        <v>0</v>
      </c>
      <c r="D367">
        <v>0</v>
      </c>
      <c r="E367">
        <v>0</v>
      </c>
      <c r="F367">
        <v>0</v>
      </c>
      <c r="G367">
        <v>0</v>
      </c>
      <c r="H367">
        <f t="shared" si="5"/>
        <v>53</v>
      </c>
      <c r="I367">
        <v>132</v>
      </c>
      <c r="J367" t="s">
        <v>80</v>
      </c>
      <c r="K367" t="s">
        <v>82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</row>
    <row r="368" spans="1:36" x14ac:dyDescent="0.25">
      <c r="A368">
        <v>18100</v>
      </c>
      <c r="B368" t="s">
        <v>73</v>
      </c>
      <c r="C368">
        <v>0</v>
      </c>
      <c r="D368" s="5">
        <v>15</v>
      </c>
      <c r="E368">
        <v>0</v>
      </c>
      <c r="F368">
        <v>0</v>
      </c>
      <c r="G368">
        <v>0</v>
      </c>
      <c r="H368">
        <v>0</v>
      </c>
      <c r="I368">
        <v>0</v>
      </c>
      <c r="J368" t="s">
        <v>74</v>
      </c>
      <c r="K368" t="s">
        <v>75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</row>
    <row r="369" spans="1:36" x14ac:dyDescent="0.25">
      <c r="A369">
        <v>18101</v>
      </c>
      <c r="B369" t="s">
        <v>73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5</v>
      </c>
      <c r="I369">
        <v>4</v>
      </c>
      <c r="J369" t="s">
        <v>74</v>
      </c>
      <c r="K369" t="s">
        <v>75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</row>
    <row r="370" spans="1:36" x14ac:dyDescent="0.25">
      <c r="A370">
        <v>18102</v>
      </c>
      <c r="B370" t="s">
        <v>73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9</v>
      </c>
      <c r="I370">
        <v>6</v>
      </c>
      <c r="J370" t="s">
        <v>74</v>
      </c>
      <c r="K370" t="s">
        <v>76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</row>
    <row r="371" spans="1:36" x14ac:dyDescent="0.25">
      <c r="A371">
        <v>18103</v>
      </c>
      <c r="B371" t="s">
        <v>73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13</v>
      </c>
      <c r="I371">
        <v>7</v>
      </c>
      <c r="J371" t="s">
        <v>74</v>
      </c>
      <c r="K371" t="s">
        <v>76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</row>
    <row r="372" spans="1:36" x14ac:dyDescent="0.25">
      <c r="A372">
        <v>18104</v>
      </c>
      <c r="B372" t="s">
        <v>73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19</v>
      </c>
      <c r="I372">
        <v>9</v>
      </c>
      <c r="J372" t="s">
        <v>74</v>
      </c>
      <c r="K372" t="s">
        <v>77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</row>
    <row r="373" spans="1:36" x14ac:dyDescent="0.25">
      <c r="A373">
        <v>18105</v>
      </c>
      <c r="B373" t="s">
        <v>73</v>
      </c>
      <c r="C373">
        <v>0</v>
      </c>
      <c r="D373">
        <v>0</v>
      </c>
      <c r="E373">
        <v>0</v>
      </c>
      <c r="F373">
        <v>0</v>
      </c>
      <c r="G373">
        <v>0</v>
      </c>
      <c r="H373" s="5">
        <v>10</v>
      </c>
      <c r="I373" s="5">
        <v>4</v>
      </c>
      <c r="J373" t="s">
        <v>74</v>
      </c>
      <c r="K373" t="s">
        <v>78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</row>
    <row r="374" spans="1:36" x14ac:dyDescent="0.25">
      <c r="A374">
        <v>18106</v>
      </c>
      <c r="B374" t="s">
        <v>79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38</v>
      </c>
      <c r="I374">
        <f t="shared" ref="I374:I382" si="6">ROUND(H374*0.4,0)</f>
        <v>15</v>
      </c>
      <c r="J374" t="s">
        <v>80</v>
      </c>
      <c r="K374" t="s">
        <v>81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</row>
    <row r="375" spans="1:36" x14ac:dyDescent="0.25">
      <c r="A375">
        <v>18107</v>
      </c>
      <c r="B375" t="s">
        <v>79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49</v>
      </c>
      <c r="I375">
        <f t="shared" si="6"/>
        <v>20</v>
      </c>
      <c r="J375" t="s">
        <v>80</v>
      </c>
      <c r="K375" t="s">
        <v>82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</row>
    <row r="376" spans="1:36" x14ac:dyDescent="0.25">
      <c r="A376">
        <v>18108</v>
      </c>
      <c r="B376" t="s">
        <v>79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61</v>
      </c>
      <c r="I376">
        <f t="shared" si="6"/>
        <v>24</v>
      </c>
      <c r="J376" t="s">
        <v>80</v>
      </c>
      <c r="K376" t="s">
        <v>82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</row>
    <row r="377" spans="1:36" x14ac:dyDescent="0.25">
      <c r="A377">
        <v>18109</v>
      </c>
      <c r="B377" t="s">
        <v>79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75</v>
      </c>
      <c r="I377">
        <f t="shared" si="6"/>
        <v>30</v>
      </c>
      <c r="J377" t="s">
        <v>80</v>
      </c>
      <c r="K377" t="s">
        <v>82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</row>
    <row r="378" spans="1:36" x14ac:dyDescent="0.25">
      <c r="A378">
        <v>18110</v>
      </c>
      <c r="B378" t="s">
        <v>79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89</v>
      </c>
      <c r="I378">
        <f t="shared" si="6"/>
        <v>36</v>
      </c>
      <c r="J378" t="s">
        <v>80</v>
      </c>
      <c r="K378" t="s">
        <v>82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</row>
    <row r="379" spans="1:36" x14ac:dyDescent="0.25">
      <c r="A379">
        <v>18111</v>
      </c>
      <c r="B379" t="s">
        <v>79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104</v>
      </c>
      <c r="I379">
        <f t="shared" si="6"/>
        <v>42</v>
      </c>
      <c r="J379" t="s">
        <v>80</v>
      </c>
      <c r="K379" t="s">
        <v>82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</row>
    <row r="380" spans="1:36" x14ac:dyDescent="0.25">
      <c r="A380">
        <v>18112</v>
      </c>
      <c r="B380" t="s">
        <v>79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120</v>
      </c>
      <c r="I380">
        <f t="shared" si="6"/>
        <v>48</v>
      </c>
      <c r="J380" t="s">
        <v>80</v>
      </c>
      <c r="K380" t="s">
        <v>82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</row>
    <row r="381" spans="1:36" x14ac:dyDescent="0.25">
      <c r="A381">
        <v>18113</v>
      </c>
      <c r="B381" t="s">
        <v>79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137</v>
      </c>
      <c r="I381">
        <f t="shared" si="6"/>
        <v>55</v>
      </c>
      <c r="J381" t="s">
        <v>80</v>
      </c>
      <c r="K381" t="s">
        <v>82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</row>
    <row r="382" spans="1:36" x14ac:dyDescent="0.25">
      <c r="A382">
        <v>18114</v>
      </c>
      <c r="B382" t="s">
        <v>79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154</v>
      </c>
      <c r="I382">
        <f t="shared" si="6"/>
        <v>62</v>
      </c>
      <c r="J382" t="s">
        <v>80</v>
      </c>
      <c r="K382" t="s">
        <v>82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</row>
    <row r="383" spans="1:36" x14ac:dyDescent="0.25">
      <c r="A383">
        <v>18200</v>
      </c>
      <c r="B383" t="s">
        <v>73</v>
      </c>
      <c r="C383">
        <v>0</v>
      </c>
      <c r="D383">
        <v>0</v>
      </c>
      <c r="E383" s="5">
        <v>15</v>
      </c>
      <c r="F383">
        <v>0</v>
      </c>
      <c r="G383">
        <v>0</v>
      </c>
      <c r="H383">
        <v>0</v>
      </c>
      <c r="I383">
        <v>0</v>
      </c>
      <c r="J383" t="s">
        <v>74</v>
      </c>
      <c r="K383" t="s">
        <v>75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</row>
    <row r="384" spans="1:36" x14ac:dyDescent="0.25">
      <c r="A384">
        <v>18201</v>
      </c>
      <c r="B384" t="s">
        <v>73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4</v>
      </c>
      <c r="I384">
        <v>5</v>
      </c>
      <c r="J384" t="s">
        <v>74</v>
      </c>
      <c r="K384" t="s">
        <v>75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</row>
    <row r="385" spans="1:36" x14ac:dyDescent="0.25">
      <c r="A385">
        <v>18202</v>
      </c>
      <c r="B385" t="s">
        <v>73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6</v>
      </c>
      <c r="I385">
        <v>9</v>
      </c>
      <c r="J385" t="s">
        <v>74</v>
      </c>
      <c r="K385" t="s">
        <v>76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</row>
    <row r="386" spans="1:36" x14ac:dyDescent="0.25">
      <c r="A386">
        <v>18203</v>
      </c>
      <c r="B386" t="s">
        <v>73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7</v>
      </c>
      <c r="I386">
        <v>13</v>
      </c>
      <c r="J386" t="s">
        <v>74</v>
      </c>
      <c r="K386" t="s">
        <v>76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</row>
    <row r="387" spans="1:36" x14ac:dyDescent="0.25">
      <c r="A387">
        <v>18204</v>
      </c>
      <c r="B387" t="s">
        <v>73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9</v>
      </c>
      <c r="I387">
        <v>19</v>
      </c>
      <c r="J387" t="s">
        <v>74</v>
      </c>
      <c r="K387" t="s">
        <v>77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</row>
    <row r="388" spans="1:36" x14ac:dyDescent="0.25">
      <c r="A388">
        <v>18205</v>
      </c>
      <c r="B388" t="s">
        <v>73</v>
      </c>
      <c r="C388">
        <v>0</v>
      </c>
      <c r="D388">
        <v>0</v>
      </c>
      <c r="E388">
        <v>0</v>
      </c>
      <c r="F388">
        <v>0</v>
      </c>
      <c r="G388">
        <v>0</v>
      </c>
      <c r="H388" s="5">
        <v>4</v>
      </c>
      <c r="I388" s="5">
        <v>10</v>
      </c>
      <c r="J388" t="s">
        <v>74</v>
      </c>
      <c r="K388" t="s">
        <v>78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</row>
    <row r="389" spans="1:36" x14ac:dyDescent="0.25">
      <c r="A389">
        <v>18206</v>
      </c>
      <c r="B389" t="s">
        <v>79</v>
      </c>
      <c r="C389">
        <v>0</v>
      </c>
      <c r="D389">
        <v>0</v>
      </c>
      <c r="E389">
        <v>0</v>
      </c>
      <c r="F389">
        <v>0</v>
      </c>
      <c r="G389">
        <v>0</v>
      </c>
      <c r="H389">
        <f t="shared" ref="H389:H397" si="7">ROUND(I389*0.4,0)</f>
        <v>15</v>
      </c>
      <c r="I389">
        <v>38</v>
      </c>
      <c r="J389" t="s">
        <v>80</v>
      </c>
      <c r="K389" t="s">
        <v>81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</row>
    <row r="390" spans="1:36" x14ac:dyDescent="0.25">
      <c r="A390">
        <v>18207</v>
      </c>
      <c r="B390" t="s">
        <v>79</v>
      </c>
      <c r="C390">
        <v>0</v>
      </c>
      <c r="D390">
        <v>0</v>
      </c>
      <c r="E390">
        <v>0</v>
      </c>
      <c r="F390">
        <v>0</v>
      </c>
      <c r="G390">
        <v>0</v>
      </c>
      <c r="H390">
        <f t="shared" si="7"/>
        <v>20</v>
      </c>
      <c r="I390">
        <v>49</v>
      </c>
      <c r="J390" t="s">
        <v>80</v>
      </c>
      <c r="K390" t="s">
        <v>82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</row>
    <row r="391" spans="1:36" x14ac:dyDescent="0.25">
      <c r="A391">
        <v>18208</v>
      </c>
      <c r="B391" t="s">
        <v>79</v>
      </c>
      <c r="C391">
        <v>0</v>
      </c>
      <c r="D391">
        <v>0</v>
      </c>
      <c r="E391">
        <v>0</v>
      </c>
      <c r="F391">
        <v>0</v>
      </c>
      <c r="G391">
        <v>0</v>
      </c>
      <c r="H391">
        <f t="shared" si="7"/>
        <v>24</v>
      </c>
      <c r="I391">
        <v>61</v>
      </c>
      <c r="J391" t="s">
        <v>80</v>
      </c>
      <c r="K391" t="s">
        <v>82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</row>
    <row r="392" spans="1:36" x14ac:dyDescent="0.25">
      <c r="A392">
        <v>18209</v>
      </c>
      <c r="B392" t="s">
        <v>79</v>
      </c>
      <c r="C392">
        <v>0</v>
      </c>
      <c r="D392">
        <v>0</v>
      </c>
      <c r="E392">
        <v>0</v>
      </c>
      <c r="F392">
        <v>0</v>
      </c>
      <c r="G392">
        <v>0</v>
      </c>
      <c r="H392">
        <f t="shared" si="7"/>
        <v>30</v>
      </c>
      <c r="I392">
        <v>75</v>
      </c>
      <c r="J392" t="s">
        <v>80</v>
      </c>
      <c r="K392" t="s">
        <v>82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</row>
    <row r="393" spans="1:36" x14ac:dyDescent="0.25">
      <c r="A393">
        <v>18210</v>
      </c>
      <c r="B393" t="s">
        <v>79</v>
      </c>
      <c r="C393">
        <v>0</v>
      </c>
      <c r="D393">
        <v>0</v>
      </c>
      <c r="E393">
        <v>0</v>
      </c>
      <c r="F393">
        <v>0</v>
      </c>
      <c r="G393">
        <v>0</v>
      </c>
      <c r="H393">
        <f t="shared" si="7"/>
        <v>36</v>
      </c>
      <c r="I393">
        <v>89</v>
      </c>
      <c r="J393" t="s">
        <v>80</v>
      </c>
      <c r="K393" t="s">
        <v>82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</row>
    <row r="394" spans="1:36" x14ac:dyDescent="0.25">
      <c r="A394">
        <v>18211</v>
      </c>
      <c r="B394" t="s">
        <v>79</v>
      </c>
      <c r="C394">
        <v>0</v>
      </c>
      <c r="D394">
        <v>0</v>
      </c>
      <c r="E394">
        <v>0</v>
      </c>
      <c r="F394">
        <v>0</v>
      </c>
      <c r="G394">
        <v>0</v>
      </c>
      <c r="H394">
        <f t="shared" si="7"/>
        <v>42</v>
      </c>
      <c r="I394">
        <v>104</v>
      </c>
      <c r="J394" t="s">
        <v>80</v>
      </c>
      <c r="K394" t="s">
        <v>82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</row>
    <row r="395" spans="1:36" x14ac:dyDescent="0.25">
      <c r="A395">
        <v>18212</v>
      </c>
      <c r="B395" t="s">
        <v>79</v>
      </c>
      <c r="C395">
        <v>0</v>
      </c>
      <c r="D395">
        <v>0</v>
      </c>
      <c r="E395">
        <v>0</v>
      </c>
      <c r="F395">
        <v>0</v>
      </c>
      <c r="G395">
        <v>0</v>
      </c>
      <c r="H395">
        <f t="shared" si="7"/>
        <v>48</v>
      </c>
      <c r="I395">
        <v>120</v>
      </c>
      <c r="J395" t="s">
        <v>80</v>
      </c>
      <c r="K395" t="s">
        <v>82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</row>
    <row r="396" spans="1:36" x14ac:dyDescent="0.25">
      <c r="A396">
        <v>18213</v>
      </c>
      <c r="B396" t="s">
        <v>79</v>
      </c>
      <c r="C396">
        <v>0</v>
      </c>
      <c r="D396">
        <v>0</v>
      </c>
      <c r="E396">
        <v>0</v>
      </c>
      <c r="F396">
        <v>0</v>
      </c>
      <c r="G396">
        <v>0</v>
      </c>
      <c r="H396">
        <f t="shared" si="7"/>
        <v>55</v>
      </c>
      <c r="I396">
        <v>137</v>
      </c>
      <c r="J396" t="s">
        <v>80</v>
      </c>
      <c r="K396" t="s">
        <v>82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</row>
    <row r="397" spans="1:36" x14ac:dyDescent="0.25">
      <c r="A397">
        <v>18214</v>
      </c>
      <c r="B397" t="s">
        <v>79</v>
      </c>
      <c r="C397">
        <v>0</v>
      </c>
      <c r="D397">
        <v>0</v>
      </c>
      <c r="E397">
        <v>0</v>
      </c>
      <c r="F397">
        <v>0</v>
      </c>
      <c r="G397">
        <v>0</v>
      </c>
      <c r="H397">
        <f t="shared" si="7"/>
        <v>62</v>
      </c>
      <c r="I397">
        <v>154</v>
      </c>
      <c r="J397" t="s">
        <v>80</v>
      </c>
      <c r="K397" t="s">
        <v>82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</row>
    <row r="398" spans="1:36" x14ac:dyDescent="0.25">
      <c r="A398">
        <v>19100</v>
      </c>
      <c r="B398" t="s">
        <v>73</v>
      </c>
      <c r="C398" s="5">
        <v>200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 t="s">
        <v>74</v>
      </c>
      <c r="K398" t="s">
        <v>75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</row>
    <row r="399" spans="1:36" x14ac:dyDescent="0.25">
      <c r="A399">
        <v>19101</v>
      </c>
      <c r="B399" t="s">
        <v>73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5</v>
      </c>
      <c r="I399">
        <v>4</v>
      </c>
      <c r="J399" t="s">
        <v>74</v>
      </c>
      <c r="K399" t="s">
        <v>75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</row>
    <row r="400" spans="1:36" x14ac:dyDescent="0.25">
      <c r="A400">
        <v>19102</v>
      </c>
      <c r="B400" t="s">
        <v>73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9</v>
      </c>
      <c r="I400">
        <v>6</v>
      </c>
      <c r="J400" t="s">
        <v>74</v>
      </c>
      <c r="K400" t="s">
        <v>76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</row>
    <row r="401" spans="1:36" x14ac:dyDescent="0.25">
      <c r="A401">
        <v>19103</v>
      </c>
      <c r="B401" t="s">
        <v>73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13</v>
      </c>
      <c r="I401">
        <v>7</v>
      </c>
      <c r="J401" t="s">
        <v>74</v>
      </c>
      <c r="K401" t="s">
        <v>76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</row>
    <row r="402" spans="1:36" x14ac:dyDescent="0.25">
      <c r="A402">
        <v>19104</v>
      </c>
      <c r="B402" t="s">
        <v>73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19</v>
      </c>
      <c r="I402">
        <v>9</v>
      </c>
      <c r="J402" t="s">
        <v>74</v>
      </c>
      <c r="K402" t="s">
        <v>77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</row>
    <row r="403" spans="1:36" x14ac:dyDescent="0.25">
      <c r="A403">
        <v>19105</v>
      </c>
      <c r="B403" t="s">
        <v>73</v>
      </c>
      <c r="C403">
        <v>0</v>
      </c>
      <c r="D403">
        <v>0</v>
      </c>
      <c r="E403">
        <v>0</v>
      </c>
      <c r="F403">
        <v>0</v>
      </c>
      <c r="G403">
        <v>0</v>
      </c>
      <c r="H403" s="5">
        <v>22</v>
      </c>
      <c r="I403" s="5">
        <v>8</v>
      </c>
      <c r="J403" t="s">
        <v>74</v>
      </c>
      <c r="K403" t="s">
        <v>78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</row>
    <row r="404" spans="1:36" x14ac:dyDescent="0.25">
      <c r="A404">
        <v>19106</v>
      </c>
      <c r="B404" t="s">
        <v>79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38</v>
      </c>
      <c r="I404">
        <f t="shared" ref="I404:I412" si="8">ROUND(H404*0.4,0)</f>
        <v>15</v>
      </c>
      <c r="J404" t="s">
        <v>80</v>
      </c>
      <c r="K404" t="s">
        <v>81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</row>
    <row r="405" spans="1:36" x14ac:dyDescent="0.25">
      <c r="A405">
        <v>19107</v>
      </c>
      <c r="B405" t="s">
        <v>79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49</v>
      </c>
      <c r="I405">
        <f t="shared" si="8"/>
        <v>20</v>
      </c>
      <c r="J405" t="s">
        <v>80</v>
      </c>
      <c r="K405" t="s">
        <v>82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</row>
    <row r="406" spans="1:36" x14ac:dyDescent="0.25">
      <c r="A406">
        <v>19108</v>
      </c>
      <c r="B406" t="s">
        <v>79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61</v>
      </c>
      <c r="I406">
        <f t="shared" si="8"/>
        <v>24</v>
      </c>
      <c r="J406" t="s">
        <v>80</v>
      </c>
      <c r="K406" t="s">
        <v>82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</row>
    <row r="407" spans="1:36" x14ac:dyDescent="0.25">
      <c r="A407">
        <v>19109</v>
      </c>
      <c r="B407" t="s">
        <v>79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75</v>
      </c>
      <c r="I407">
        <f t="shared" si="8"/>
        <v>30</v>
      </c>
      <c r="J407" t="s">
        <v>80</v>
      </c>
      <c r="K407" t="s">
        <v>82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</row>
    <row r="408" spans="1:36" x14ac:dyDescent="0.25">
      <c r="A408">
        <v>19110</v>
      </c>
      <c r="B408" t="s">
        <v>79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89</v>
      </c>
      <c r="I408">
        <f t="shared" si="8"/>
        <v>36</v>
      </c>
      <c r="J408" t="s">
        <v>80</v>
      </c>
      <c r="K408" t="s">
        <v>82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</row>
    <row r="409" spans="1:36" x14ac:dyDescent="0.25">
      <c r="A409">
        <v>19111</v>
      </c>
      <c r="B409" t="s">
        <v>79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104</v>
      </c>
      <c r="I409">
        <f t="shared" si="8"/>
        <v>42</v>
      </c>
      <c r="J409" t="s">
        <v>80</v>
      </c>
      <c r="K409" t="s">
        <v>82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</row>
    <row r="410" spans="1:36" x14ac:dyDescent="0.25">
      <c r="A410">
        <v>19112</v>
      </c>
      <c r="B410" t="s">
        <v>79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120</v>
      </c>
      <c r="I410">
        <f t="shared" si="8"/>
        <v>48</v>
      </c>
      <c r="J410" t="s">
        <v>80</v>
      </c>
      <c r="K410" t="s">
        <v>82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</row>
    <row r="411" spans="1:36" x14ac:dyDescent="0.25">
      <c r="A411">
        <v>19113</v>
      </c>
      <c r="B411" t="s">
        <v>79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137</v>
      </c>
      <c r="I411">
        <f t="shared" si="8"/>
        <v>55</v>
      </c>
      <c r="J411" t="s">
        <v>80</v>
      </c>
      <c r="K411" t="s">
        <v>82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</row>
    <row r="412" spans="1:36" x14ac:dyDescent="0.25">
      <c r="A412">
        <v>19114</v>
      </c>
      <c r="B412" t="s">
        <v>79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154</v>
      </c>
      <c r="I412">
        <f t="shared" si="8"/>
        <v>62</v>
      </c>
      <c r="J412" t="s">
        <v>80</v>
      </c>
      <c r="K412" t="s">
        <v>82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</row>
    <row r="413" spans="1:36" x14ac:dyDescent="0.25">
      <c r="A413">
        <v>19200</v>
      </c>
      <c r="B413" t="s">
        <v>73</v>
      </c>
      <c r="C413" s="5">
        <v>200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 t="s">
        <v>74</v>
      </c>
      <c r="K413" t="s">
        <v>75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</row>
    <row r="414" spans="1:36" x14ac:dyDescent="0.25">
      <c r="A414">
        <v>19201</v>
      </c>
      <c r="B414" t="s">
        <v>73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4</v>
      </c>
      <c r="I414">
        <v>5</v>
      </c>
      <c r="J414" t="s">
        <v>74</v>
      </c>
      <c r="K414" t="s">
        <v>75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</row>
    <row r="415" spans="1:36" x14ac:dyDescent="0.25">
      <c r="A415">
        <v>19202</v>
      </c>
      <c r="B415" t="s">
        <v>73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6</v>
      </c>
      <c r="I415">
        <v>9</v>
      </c>
      <c r="J415" t="s">
        <v>74</v>
      </c>
      <c r="K415" t="s">
        <v>76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</row>
    <row r="416" spans="1:36" x14ac:dyDescent="0.25">
      <c r="A416">
        <v>19203</v>
      </c>
      <c r="B416" t="s">
        <v>73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7</v>
      </c>
      <c r="I416">
        <v>13</v>
      </c>
      <c r="J416" t="s">
        <v>74</v>
      </c>
      <c r="K416" t="s">
        <v>76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</row>
    <row r="417" spans="1:36" x14ac:dyDescent="0.25">
      <c r="A417">
        <v>19204</v>
      </c>
      <c r="B417" t="s">
        <v>73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9</v>
      </c>
      <c r="I417">
        <v>19</v>
      </c>
      <c r="J417" t="s">
        <v>74</v>
      </c>
      <c r="K417" t="s">
        <v>77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</row>
    <row r="418" spans="1:36" x14ac:dyDescent="0.25">
      <c r="A418">
        <v>19205</v>
      </c>
      <c r="B418" t="s">
        <v>73</v>
      </c>
      <c r="C418">
        <v>0</v>
      </c>
      <c r="D418">
        <v>0</v>
      </c>
      <c r="E418">
        <v>0</v>
      </c>
      <c r="F418">
        <v>0</v>
      </c>
      <c r="G418">
        <v>0</v>
      </c>
      <c r="H418" s="5">
        <v>8</v>
      </c>
      <c r="I418" s="5">
        <v>22</v>
      </c>
      <c r="J418" t="s">
        <v>74</v>
      </c>
      <c r="K418" t="s">
        <v>78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</row>
    <row r="419" spans="1:36" x14ac:dyDescent="0.25">
      <c r="A419">
        <v>19206</v>
      </c>
      <c r="B419" t="s">
        <v>79</v>
      </c>
      <c r="C419">
        <v>0</v>
      </c>
      <c r="D419">
        <v>0</v>
      </c>
      <c r="E419">
        <v>0</v>
      </c>
      <c r="F419">
        <v>0</v>
      </c>
      <c r="G419">
        <v>0</v>
      </c>
      <c r="H419">
        <f t="shared" ref="H419:H427" si="9">ROUND(I419*0.4,0)</f>
        <v>15</v>
      </c>
      <c r="I419">
        <v>38</v>
      </c>
      <c r="J419" t="s">
        <v>80</v>
      </c>
      <c r="K419" t="s">
        <v>81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</row>
    <row r="420" spans="1:36" x14ac:dyDescent="0.25">
      <c r="A420">
        <v>19207</v>
      </c>
      <c r="B420" t="s">
        <v>79</v>
      </c>
      <c r="C420">
        <v>0</v>
      </c>
      <c r="D420">
        <v>0</v>
      </c>
      <c r="E420">
        <v>0</v>
      </c>
      <c r="F420">
        <v>0</v>
      </c>
      <c r="G420">
        <v>0</v>
      </c>
      <c r="H420">
        <f t="shared" si="9"/>
        <v>20</v>
      </c>
      <c r="I420">
        <v>49</v>
      </c>
      <c r="J420" t="s">
        <v>80</v>
      </c>
      <c r="K420" t="s">
        <v>82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</row>
    <row r="421" spans="1:36" x14ac:dyDescent="0.25">
      <c r="A421">
        <v>19208</v>
      </c>
      <c r="B421" t="s">
        <v>79</v>
      </c>
      <c r="C421">
        <v>0</v>
      </c>
      <c r="D421">
        <v>0</v>
      </c>
      <c r="E421">
        <v>0</v>
      </c>
      <c r="F421">
        <v>0</v>
      </c>
      <c r="G421">
        <v>0</v>
      </c>
      <c r="H421">
        <f t="shared" si="9"/>
        <v>24</v>
      </c>
      <c r="I421">
        <v>61</v>
      </c>
      <c r="J421" t="s">
        <v>80</v>
      </c>
      <c r="K421" t="s">
        <v>82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</row>
    <row r="422" spans="1:36" x14ac:dyDescent="0.25">
      <c r="A422">
        <v>19209</v>
      </c>
      <c r="B422" t="s">
        <v>79</v>
      </c>
      <c r="C422">
        <v>0</v>
      </c>
      <c r="D422">
        <v>0</v>
      </c>
      <c r="E422">
        <v>0</v>
      </c>
      <c r="F422">
        <v>0</v>
      </c>
      <c r="G422">
        <v>0</v>
      </c>
      <c r="H422">
        <f t="shared" si="9"/>
        <v>30</v>
      </c>
      <c r="I422">
        <v>75</v>
      </c>
      <c r="J422" t="s">
        <v>80</v>
      </c>
      <c r="K422" t="s">
        <v>82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</row>
    <row r="423" spans="1:36" x14ac:dyDescent="0.25">
      <c r="A423">
        <v>19210</v>
      </c>
      <c r="B423" t="s">
        <v>79</v>
      </c>
      <c r="C423">
        <v>0</v>
      </c>
      <c r="D423">
        <v>0</v>
      </c>
      <c r="E423">
        <v>0</v>
      </c>
      <c r="F423">
        <v>0</v>
      </c>
      <c r="G423">
        <v>0</v>
      </c>
      <c r="H423">
        <f t="shared" si="9"/>
        <v>36</v>
      </c>
      <c r="I423">
        <v>89</v>
      </c>
      <c r="J423" t="s">
        <v>80</v>
      </c>
      <c r="K423" t="s">
        <v>82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</row>
    <row r="424" spans="1:36" x14ac:dyDescent="0.25">
      <c r="A424">
        <v>19211</v>
      </c>
      <c r="B424" t="s">
        <v>79</v>
      </c>
      <c r="C424">
        <v>0</v>
      </c>
      <c r="D424">
        <v>0</v>
      </c>
      <c r="E424">
        <v>0</v>
      </c>
      <c r="F424">
        <v>0</v>
      </c>
      <c r="G424">
        <v>0</v>
      </c>
      <c r="H424">
        <f t="shared" si="9"/>
        <v>42</v>
      </c>
      <c r="I424">
        <v>104</v>
      </c>
      <c r="J424" t="s">
        <v>80</v>
      </c>
      <c r="K424" t="s">
        <v>82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</row>
    <row r="425" spans="1:36" x14ac:dyDescent="0.25">
      <c r="A425">
        <v>19212</v>
      </c>
      <c r="B425" t="s">
        <v>79</v>
      </c>
      <c r="C425">
        <v>0</v>
      </c>
      <c r="D425">
        <v>0</v>
      </c>
      <c r="E425">
        <v>0</v>
      </c>
      <c r="F425">
        <v>0</v>
      </c>
      <c r="G425">
        <v>0</v>
      </c>
      <c r="H425">
        <f t="shared" si="9"/>
        <v>48</v>
      </c>
      <c r="I425">
        <v>120</v>
      </c>
      <c r="J425" t="s">
        <v>80</v>
      </c>
      <c r="K425" t="s">
        <v>82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</row>
    <row r="426" spans="1:36" x14ac:dyDescent="0.25">
      <c r="A426">
        <v>19213</v>
      </c>
      <c r="B426" t="s">
        <v>79</v>
      </c>
      <c r="C426">
        <v>0</v>
      </c>
      <c r="D426">
        <v>0</v>
      </c>
      <c r="E426">
        <v>0</v>
      </c>
      <c r="F426">
        <v>0</v>
      </c>
      <c r="G426">
        <v>0</v>
      </c>
      <c r="H426">
        <f t="shared" si="9"/>
        <v>55</v>
      </c>
      <c r="I426">
        <v>137</v>
      </c>
      <c r="J426" t="s">
        <v>80</v>
      </c>
      <c r="K426" t="s">
        <v>82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</row>
    <row r="427" spans="1:36" x14ac:dyDescent="0.25">
      <c r="A427">
        <v>19214</v>
      </c>
      <c r="B427" t="s">
        <v>79</v>
      </c>
      <c r="C427">
        <v>0</v>
      </c>
      <c r="D427">
        <v>0</v>
      </c>
      <c r="E427">
        <v>0</v>
      </c>
      <c r="F427">
        <v>0</v>
      </c>
      <c r="G427">
        <v>0</v>
      </c>
      <c r="H427">
        <f t="shared" si="9"/>
        <v>62</v>
      </c>
      <c r="I427">
        <v>154</v>
      </c>
      <c r="J427" t="s">
        <v>80</v>
      </c>
      <c r="K427" t="s">
        <v>82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</row>
    <row r="428" spans="1:36" x14ac:dyDescent="0.25">
      <c r="A428">
        <v>27201</v>
      </c>
      <c r="B428">
        <v>0</v>
      </c>
      <c r="C428" s="5">
        <v>75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 t="s">
        <v>83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</row>
    <row r="429" spans="1:36" x14ac:dyDescent="0.25">
      <c r="A429">
        <v>27202</v>
      </c>
      <c r="B429">
        <v>0</v>
      </c>
      <c r="C429" s="5">
        <v>150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 t="s">
        <v>83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</row>
    <row r="430" spans="1:36" x14ac:dyDescent="0.25">
      <c r="A430">
        <v>27203</v>
      </c>
      <c r="B430">
        <v>0</v>
      </c>
      <c r="C430" s="5">
        <v>300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 t="s">
        <v>83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</row>
    <row r="431" spans="1:36" x14ac:dyDescent="0.25">
      <c r="A431">
        <v>27204</v>
      </c>
      <c r="B431">
        <v>0</v>
      </c>
      <c r="C431" s="5">
        <v>600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 t="s">
        <v>83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</row>
    <row r="432" spans="1:36" x14ac:dyDescent="0.25">
      <c r="A432">
        <v>27205</v>
      </c>
      <c r="B432">
        <v>0</v>
      </c>
      <c r="C432" s="5">
        <v>1200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 t="s">
        <v>83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</row>
    <row r="433" spans="1:36" x14ac:dyDescent="0.25">
      <c r="A433">
        <v>27206</v>
      </c>
      <c r="B433">
        <v>0</v>
      </c>
      <c r="C433" s="5">
        <v>2400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 t="s">
        <v>83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</row>
    <row r="434" spans="1:36" x14ac:dyDescent="0.25">
      <c r="A434">
        <v>27207</v>
      </c>
      <c r="B434">
        <v>0</v>
      </c>
      <c r="C434" s="5">
        <v>4800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 t="s">
        <v>83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</row>
    <row r="435" spans="1:36" x14ac:dyDescent="0.25">
      <c r="A435">
        <v>27211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 s="5">
        <v>15</v>
      </c>
      <c r="I435">
        <v>0</v>
      </c>
      <c r="J435" t="s">
        <v>83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</row>
    <row r="436" spans="1:36" x14ac:dyDescent="0.25">
      <c r="A436">
        <v>27212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 s="5">
        <v>30</v>
      </c>
      <c r="I436">
        <v>0</v>
      </c>
      <c r="J436" t="s">
        <v>83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</row>
    <row r="437" spans="1:36" x14ac:dyDescent="0.25">
      <c r="A437">
        <v>27213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 s="5">
        <v>60</v>
      </c>
      <c r="I437">
        <v>0</v>
      </c>
      <c r="J437" t="s">
        <v>83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</row>
    <row r="438" spans="1:36" x14ac:dyDescent="0.25">
      <c r="A438">
        <v>27214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 s="5">
        <v>120</v>
      </c>
      <c r="I438">
        <v>0</v>
      </c>
      <c r="J438" t="s">
        <v>83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</row>
    <row r="439" spans="1:36" x14ac:dyDescent="0.25">
      <c r="A439">
        <v>27215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 s="5">
        <v>240</v>
      </c>
      <c r="I439">
        <v>0</v>
      </c>
      <c r="J439" t="s">
        <v>83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</row>
    <row r="440" spans="1:36" x14ac:dyDescent="0.25">
      <c r="A440">
        <v>27216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 s="5">
        <v>480</v>
      </c>
      <c r="I440">
        <v>0</v>
      </c>
      <c r="J440" t="s">
        <v>83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</row>
    <row r="441" spans="1:36" x14ac:dyDescent="0.25">
      <c r="A441">
        <v>27217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 s="5">
        <v>960</v>
      </c>
      <c r="I441">
        <v>0</v>
      </c>
      <c r="J441" t="s">
        <v>83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</row>
    <row r="442" spans="1:36" x14ac:dyDescent="0.25">
      <c r="A442">
        <v>27221</v>
      </c>
      <c r="B442">
        <v>0</v>
      </c>
      <c r="C442">
        <v>0</v>
      </c>
      <c r="D442" s="5">
        <v>30</v>
      </c>
      <c r="E442">
        <v>0</v>
      </c>
      <c r="F442">
        <v>0</v>
      </c>
      <c r="G442">
        <v>0</v>
      </c>
      <c r="H442">
        <v>0</v>
      </c>
      <c r="I442">
        <v>0</v>
      </c>
      <c r="J442" t="s">
        <v>83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</row>
    <row r="443" spans="1:36" x14ac:dyDescent="0.25">
      <c r="A443">
        <v>27222</v>
      </c>
      <c r="B443">
        <v>0</v>
      </c>
      <c r="C443">
        <v>0</v>
      </c>
      <c r="D443" s="5">
        <v>60</v>
      </c>
      <c r="E443">
        <v>0</v>
      </c>
      <c r="F443">
        <v>0</v>
      </c>
      <c r="G443">
        <v>0</v>
      </c>
      <c r="H443">
        <v>0</v>
      </c>
      <c r="I443">
        <v>0</v>
      </c>
      <c r="J443" t="s">
        <v>83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</row>
    <row r="444" spans="1:36" x14ac:dyDescent="0.25">
      <c r="A444">
        <v>27223</v>
      </c>
      <c r="B444">
        <v>0</v>
      </c>
      <c r="C444">
        <v>0</v>
      </c>
      <c r="D444" s="5">
        <v>120</v>
      </c>
      <c r="E444">
        <v>0</v>
      </c>
      <c r="F444">
        <v>0</v>
      </c>
      <c r="G444">
        <v>0</v>
      </c>
      <c r="H444">
        <v>0</v>
      </c>
      <c r="I444">
        <v>0</v>
      </c>
      <c r="J444" t="s">
        <v>83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</row>
    <row r="445" spans="1:36" x14ac:dyDescent="0.25">
      <c r="A445">
        <v>27224</v>
      </c>
      <c r="B445">
        <v>0</v>
      </c>
      <c r="C445">
        <v>0</v>
      </c>
      <c r="D445" s="5">
        <v>240</v>
      </c>
      <c r="E445">
        <v>0</v>
      </c>
      <c r="F445">
        <v>0</v>
      </c>
      <c r="G445">
        <v>0</v>
      </c>
      <c r="H445">
        <v>0</v>
      </c>
      <c r="I445">
        <v>0</v>
      </c>
      <c r="J445" t="s">
        <v>83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</row>
    <row r="446" spans="1:36" x14ac:dyDescent="0.25">
      <c r="A446">
        <v>27225</v>
      </c>
      <c r="B446">
        <v>0</v>
      </c>
      <c r="C446">
        <v>0</v>
      </c>
      <c r="D446" s="5">
        <v>480</v>
      </c>
      <c r="E446">
        <v>0</v>
      </c>
      <c r="F446">
        <v>0</v>
      </c>
      <c r="G446">
        <v>0</v>
      </c>
      <c r="H446">
        <v>0</v>
      </c>
      <c r="I446">
        <v>0</v>
      </c>
      <c r="J446" t="s">
        <v>83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</row>
    <row r="447" spans="1:36" x14ac:dyDescent="0.25">
      <c r="A447">
        <v>27226</v>
      </c>
      <c r="B447">
        <v>0</v>
      </c>
      <c r="C447">
        <v>0</v>
      </c>
      <c r="D447" s="5">
        <v>960</v>
      </c>
      <c r="E447">
        <v>0</v>
      </c>
      <c r="F447">
        <v>0</v>
      </c>
      <c r="G447">
        <v>0</v>
      </c>
      <c r="H447">
        <v>0</v>
      </c>
      <c r="I447">
        <v>0</v>
      </c>
      <c r="J447" t="s">
        <v>83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</row>
    <row r="448" spans="1:36" x14ac:dyDescent="0.25">
      <c r="A448">
        <v>27227</v>
      </c>
      <c r="B448">
        <v>0</v>
      </c>
      <c r="C448">
        <v>0</v>
      </c>
      <c r="D448" s="5">
        <v>1920</v>
      </c>
      <c r="E448">
        <v>0</v>
      </c>
      <c r="F448">
        <v>0</v>
      </c>
      <c r="G448">
        <v>0</v>
      </c>
      <c r="H448">
        <v>0</v>
      </c>
      <c r="I448">
        <v>0</v>
      </c>
      <c r="J448" t="s">
        <v>83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</row>
    <row r="449" spans="1:36" x14ac:dyDescent="0.25">
      <c r="A449">
        <v>27231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 s="5">
        <v>15</v>
      </c>
      <c r="J449" t="s">
        <v>83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</row>
    <row r="450" spans="1:36" x14ac:dyDescent="0.25">
      <c r="A450">
        <v>27232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 s="5">
        <v>30</v>
      </c>
      <c r="J450" t="s">
        <v>83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</row>
    <row r="451" spans="1:36" x14ac:dyDescent="0.25">
      <c r="A451">
        <v>27233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 s="5">
        <v>60</v>
      </c>
      <c r="J451" t="s">
        <v>83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</row>
    <row r="452" spans="1:36" x14ac:dyDescent="0.25">
      <c r="A452">
        <v>27234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 s="5">
        <v>120</v>
      </c>
      <c r="J452" t="s">
        <v>83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</row>
    <row r="453" spans="1:36" x14ac:dyDescent="0.25">
      <c r="A453">
        <v>27235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 s="5">
        <v>240</v>
      </c>
      <c r="J453" t="s">
        <v>83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</row>
    <row r="454" spans="1:36" x14ac:dyDescent="0.25">
      <c r="A454">
        <v>27236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 s="5">
        <v>480</v>
      </c>
      <c r="J454" t="s">
        <v>83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</row>
    <row r="455" spans="1:36" x14ac:dyDescent="0.25">
      <c r="A455">
        <v>27237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 s="5">
        <v>960</v>
      </c>
      <c r="J455" t="s">
        <v>83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</row>
    <row r="456" spans="1:36" x14ac:dyDescent="0.25">
      <c r="A456">
        <v>27241</v>
      </c>
      <c r="B456">
        <v>0</v>
      </c>
      <c r="C456">
        <v>0</v>
      </c>
      <c r="D456">
        <v>0</v>
      </c>
      <c r="E456" s="5">
        <v>30</v>
      </c>
      <c r="F456">
        <v>0</v>
      </c>
      <c r="G456">
        <v>0</v>
      </c>
      <c r="H456">
        <v>0</v>
      </c>
      <c r="I456">
        <v>0</v>
      </c>
      <c r="J456" t="s">
        <v>83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</row>
    <row r="457" spans="1:36" x14ac:dyDescent="0.25">
      <c r="A457">
        <v>27242</v>
      </c>
      <c r="B457">
        <v>0</v>
      </c>
      <c r="C457">
        <v>0</v>
      </c>
      <c r="D457">
        <v>0</v>
      </c>
      <c r="E457" s="5">
        <v>60</v>
      </c>
      <c r="F457">
        <v>0</v>
      </c>
      <c r="G457">
        <v>0</v>
      </c>
      <c r="H457">
        <v>0</v>
      </c>
      <c r="I457">
        <v>0</v>
      </c>
      <c r="J457" t="s">
        <v>83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</row>
    <row r="458" spans="1:36" x14ac:dyDescent="0.25">
      <c r="A458">
        <v>27243</v>
      </c>
      <c r="B458">
        <v>0</v>
      </c>
      <c r="C458">
        <v>0</v>
      </c>
      <c r="D458">
        <v>0</v>
      </c>
      <c r="E458" s="5">
        <v>120</v>
      </c>
      <c r="F458">
        <v>0</v>
      </c>
      <c r="G458">
        <v>0</v>
      </c>
      <c r="H458">
        <v>0</v>
      </c>
      <c r="I458">
        <v>0</v>
      </c>
      <c r="J458" t="s">
        <v>83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</row>
    <row r="459" spans="1:36" x14ac:dyDescent="0.25">
      <c r="A459">
        <v>27244</v>
      </c>
      <c r="B459">
        <v>0</v>
      </c>
      <c r="C459">
        <v>0</v>
      </c>
      <c r="D459">
        <v>0</v>
      </c>
      <c r="E459" s="5">
        <v>240</v>
      </c>
      <c r="F459">
        <v>0</v>
      </c>
      <c r="G459">
        <v>0</v>
      </c>
      <c r="H459">
        <v>0</v>
      </c>
      <c r="I459">
        <v>0</v>
      </c>
      <c r="J459" t="s">
        <v>83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</row>
    <row r="460" spans="1:36" x14ac:dyDescent="0.25">
      <c r="A460">
        <v>27245</v>
      </c>
      <c r="B460">
        <v>0</v>
      </c>
      <c r="C460">
        <v>0</v>
      </c>
      <c r="D460">
        <v>0</v>
      </c>
      <c r="E460" s="5">
        <v>480</v>
      </c>
      <c r="F460">
        <v>0</v>
      </c>
      <c r="G460">
        <v>0</v>
      </c>
      <c r="H460">
        <v>0</v>
      </c>
      <c r="I460">
        <v>0</v>
      </c>
      <c r="J460" t="s">
        <v>83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</row>
    <row r="461" spans="1:36" x14ac:dyDescent="0.25">
      <c r="A461">
        <v>27246</v>
      </c>
      <c r="B461">
        <v>0</v>
      </c>
      <c r="C461">
        <v>0</v>
      </c>
      <c r="D461">
        <v>0</v>
      </c>
      <c r="E461" s="5">
        <v>960</v>
      </c>
      <c r="F461">
        <v>0</v>
      </c>
      <c r="G461">
        <v>0</v>
      </c>
      <c r="H461">
        <v>0</v>
      </c>
      <c r="I461">
        <v>0</v>
      </c>
      <c r="J461" t="s">
        <v>83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</row>
    <row r="462" spans="1:36" x14ac:dyDescent="0.25">
      <c r="A462">
        <v>27247</v>
      </c>
      <c r="B462">
        <v>0</v>
      </c>
      <c r="C462">
        <v>0</v>
      </c>
      <c r="D462">
        <v>0</v>
      </c>
      <c r="E462" s="5">
        <v>1920</v>
      </c>
      <c r="F462">
        <v>0</v>
      </c>
      <c r="G462">
        <v>0</v>
      </c>
      <c r="H462">
        <v>0</v>
      </c>
      <c r="I462">
        <v>0</v>
      </c>
      <c r="J462" t="s">
        <v>83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</row>
    <row r="463" spans="1:36" x14ac:dyDescent="0.25">
      <c r="A463">
        <v>27251</v>
      </c>
      <c r="B463">
        <v>0</v>
      </c>
      <c r="C463">
        <v>200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 t="s">
        <v>84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</row>
    <row r="464" spans="1:36" x14ac:dyDescent="0.25">
      <c r="A464">
        <v>27252</v>
      </c>
      <c r="B464">
        <v>0</v>
      </c>
      <c r="C464">
        <v>300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 t="s">
        <v>84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</row>
    <row r="465" spans="1:36" x14ac:dyDescent="0.25">
      <c r="A465">
        <v>27253</v>
      </c>
      <c r="B465">
        <v>0</v>
      </c>
      <c r="C465">
        <v>400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 t="s">
        <v>84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</row>
    <row r="466" spans="1:36" x14ac:dyDescent="0.25">
      <c r="A466">
        <v>27254</v>
      </c>
      <c r="B466">
        <v>0</v>
      </c>
      <c r="C466">
        <v>800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 t="s">
        <v>84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</row>
    <row r="467" spans="1:36" x14ac:dyDescent="0.25">
      <c r="A467">
        <v>27255</v>
      </c>
      <c r="B467">
        <v>0</v>
      </c>
      <c r="C467">
        <v>1200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 t="s">
        <v>84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</row>
    <row r="468" spans="1:36" x14ac:dyDescent="0.25">
      <c r="A468">
        <v>27256</v>
      </c>
      <c r="B468">
        <v>0</v>
      </c>
      <c r="C468">
        <v>2500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 t="s">
        <v>84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</row>
    <row r="469" spans="1:36" x14ac:dyDescent="0.25">
      <c r="A469">
        <v>27257</v>
      </c>
      <c r="B469">
        <v>0</v>
      </c>
      <c r="C469">
        <v>5000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 t="s">
        <v>84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</row>
    <row r="470" spans="1:36" x14ac:dyDescent="0.25">
      <c r="A470">
        <v>27261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 t="s">
        <v>84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20</v>
      </c>
      <c r="Z470">
        <v>0</v>
      </c>
      <c r="AA470">
        <v>0</v>
      </c>
      <c r="AB470">
        <v>0</v>
      </c>
      <c r="AC470">
        <v>20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</row>
    <row r="471" spans="1:36" x14ac:dyDescent="0.25">
      <c r="A471">
        <v>27262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 t="s">
        <v>84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30</v>
      </c>
      <c r="Z471">
        <v>0</v>
      </c>
      <c r="AA471">
        <v>0</v>
      </c>
      <c r="AB471">
        <v>0</v>
      </c>
      <c r="AC471">
        <v>30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</row>
    <row r="472" spans="1:36" x14ac:dyDescent="0.25">
      <c r="A472">
        <v>27263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 t="s">
        <v>84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40</v>
      </c>
      <c r="Z472">
        <v>0</v>
      </c>
      <c r="AA472">
        <v>0</v>
      </c>
      <c r="AB472">
        <v>0</v>
      </c>
      <c r="AC472">
        <v>40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</row>
    <row r="473" spans="1:36" x14ac:dyDescent="0.25">
      <c r="A473">
        <v>27264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 t="s">
        <v>84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80</v>
      </c>
      <c r="Z473">
        <v>0</v>
      </c>
      <c r="AA473">
        <v>0</v>
      </c>
      <c r="AB473">
        <v>0</v>
      </c>
      <c r="AC473">
        <v>80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</row>
    <row r="474" spans="1:36" x14ac:dyDescent="0.25">
      <c r="A474">
        <v>27265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 t="s">
        <v>84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120</v>
      </c>
      <c r="Z474">
        <v>0</v>
      </c>
      <c r="AA474">
        <v>0</v>
      </c>
      <c r="AB474">
        <v>0</v>
      </c>
      <c r="AC474">
        <v>120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</row>
    <row r="475" spans="1:36" x14ac:dyDescent="0.25">
      <c r="A475">
        <v>27266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 t="s">
        <v>84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250</v>
      </c>
      <c r="Z475">
        <v>0</v>
      </c>
      <c r="AA475">
        <v>0</v>
      </c>
      <c r="AB475">
        <v>0</v>
      </c>
      <c r="AC475">
        <v>250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</row>
    <row r="476" spans="1:36" x14ac:dyDescent="0.25">
      <c r="A476">
        <v>27267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 t="s">
        <v>84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500</v>
      </c>
      <c r="Z476">
        <v>0</v>
      </c>
      <c r="AA476">
        <v>0</v>
      </c>
      <c r="AB476">
        <v>0</v>
      </c>
      <c r="AC476">
        <v>500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</row>
    <row r="477" spans="1:36" x14ac:dyDescent="0.25">
      <c r="A477">
        <v>27271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 t="s">
        <v>84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20</v>
      </c>
      <c r="X477">
        <v>0</v>
      </c>
      <c r="Y477">
        <v>0</v>
      </c>
      <c r="Z477">
        <v>0</v>
      </c>
      <c r="AA477">
        <v>20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</row>
    <row r="478" spans="1:36" x14ac:dyDescent="0.25">
      <c r="A478">
        <v>27272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 t="s">
        <v>84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30</v>
      </c>
      <c r="X478">
        <v>0</v>
      </c>
      <c r="Y478">
        <v>0</v>
      </c>
      <c r="Z478">
        <v>0</v>
      </c>
      <c r="AA478">
        <v>30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</row>
    <row r="479" spans="1:36" x14ac:dyDescent="0.25">
      <c r="A479">
        <v>27273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 t="s">
        <v>84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40</v>
      </c>
      <c r="X479">
        <v>0</v>
      </c>
      <c r="Y479">
        <v>0</v>
      </c>
      <c r="Z479">
        <v>0</v>
      </c>
      <c r="AA479">
        <v>40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</row>
    <row r="480" spans="1:36" x14ac:dyDescent="0.25">
      <c r="A480">
        <v>27274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 t="s">
        <v>84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80</v>
      </c>
      <c r="X480">
        <v>0</v>
      </c>
      <c r="Y480">
        <v>0</v>
      </c>
      <c r="Z480">
        <v>0</v>
      </c>
      <c r="AA480">
        <v>80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</row>
    <row r="481" spans="1:36" x14ac:dyDescent="0.25">
      <c r="A481">
        <v>27275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 t="s">
        <v>84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120</v>
      </c>
      <c r="X481">
        <v>0</v>
      </c>
      <c r="Y481">
        <v>0</v>
      </c>
      <c r="Z481">
        <v>0</v>
      </c>
      <c r="AA481">
        <v>120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</row>
    <row r="482" spans="1:36" x14ac:dyDescent="0.25">
      <c r="A482">
        <v>27276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 t="s">
        <v>84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250</v>
      </c>
      <c r="X482">
        <v>0</v>
      </c>
      <c r="Y482">
        <v>0</v>
      </c>
      <c r="Z482">
        <v>0</v>
      </c>
      <c r="AA482">
        <v>250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</row>
    <row r="483" spans="1:36" x14ac:dyDescent="0.25">
      <c r="A483">
        <v>27277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 t="s">
        <v>84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500</v>
      </c>
      <c r="X483">
        <v>0</v>
      </c>
      <c r="Y483">
        <v>0</v>
      </c>
      <c r="Z483">
        <v>0</v>
      </c>
      <c r="AA483">
        <v>500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</row>
    <row r="484" spans="1:36" x14ac:dyDescent="0.25">
      <c r="A484">
        <v>27281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 t="s">
        <v>84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20</v>
      </c>
      <c r="AA484">
        <v>0</v>
      </c>
      <c r="AB484">
        <v>0</v>
      </c>
      <c r="AC484">
        <v>0</v>
      </c>
      <c r="AD484">
        <v>20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</row>
    <row r="485" spans="1:36" x14ac:dyDescent="0.25">
      <c r="A485">
        <v>27282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 t="s">
        <v>84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30</v>
      </c>
      <c r="AA485">
        <v>0</v>
      </c>
      <c r="AB485">
        <v>0</v>
      </c>
      <c r="AC485">
        <v>0</v>
      </c>
      <c r="AD485">
        <v>30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</row>
    <row r="486" spans="1:36" x14ac:dyDescent="0.25">
      <c r="A486">
        <v>27283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 t="s">
        <v>84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40</v>
      </c>
      <c r="AA486">
        <v>0</v>
      </c>
      <c r="AB486">
        <v>0</v>
      </c>
      <c r="AC486">
        <v>0</v>
      </c>
      <c r="AD486">
        <v>40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</row>
    <row r="487" spans="1:36" x14ac:dyDescent="0.25">
      <c r="A487">
        <v>27284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 t="s">
        <v>84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80</v>
      </c>
      <c r="AA487">
        <v>0</v>
      </c>
      <c r="AB487">
        <v>0</v>
      </c>
      <c r="AC487">
        <v>0</v>
      </c>
      <c r="AD487">
        <v>80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</row>
    <row r="488" spans="1:36" x14ac:dyDescent="0.25">
      <c r="A488">
        <v>27285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 t="s">
        <v>84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120</v>
      </c>
      <c r="AA488">
        <v>0</v>
      </c>
      <c r="AB488">
        <v>0</v>
      </c>
      <c r="AC488">
        <v>0</v>
      </c>
      <c r="AD488">
        <v>120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</row>
    <row r="489" spans="1:36" x14ac:dyDescent="0.25">
      <c r="A489">
        <v>27286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 t="s">
        <v>84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250</v>
      </c>
      <c r="AA489">
        <v>0</v>
      </c>
      <c r="AB489">
        <v>0</v>
      </c>
      <c r="AC489">
        <v>0</v>
      </c>
      <c r="AD489">
        <v>250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</row>
    <row r="490" spans="1:36" x14ac:dyDescent="0.25">
      <c r="A490">
        <v>27287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 t="s">
        <v>84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500</v>
      </c>
      <c r="AA490">
        <v>0</v>
      </c>
      <c r="AB490">
        <v>0</v>
      </c>
      <c r="AC490">
        <v>0</v>
      </c>
      <c r="AD490">
        <v>500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</row>
    <row r="491" spans="1:36" x14ac:dyDescent="0.25">
      <c r="A491">
        <v>27291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 t="s">
        <v>84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20</v>
      </c>
      <c r="Y491">
        <v>0</v>
      </c>
      <c r="Z491">
        <v>0</v>
      </c>
      <c r="AA491">
        <v>0</v>
      </c>
      <c r="AB491">
        <v>20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</row>
    <row r="492" spans="1:36" x14ac:dyDescent="0.25">
      <c r="A492">
        <v>27292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 t="s">
        <v>84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30</v>
      </c>
      <c r="Y492">
        <v>0</v>
      </c>
      <c r="Z492">
        <v>0</v>
      </c>
      <c r="AA492">
        <v>0</v>
      </c>
      <c r="AB492">
        <v>30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</row>
    <row r="493" spans="1:36" x14ac:dyDescent="0.25">
      <c r="A493">
        <v>27293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 t="s">
        <v>84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40</v>
      </c>
      <c r="Y493">
        <v>0</v>
      </c>
      <c r="Z493">
        <v>0</v>
      </c>
      <c r="AA493">
        <v>0</v>
      </c>
      <c r="AB493">
        <v>40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</row>
    <row r="494" spans="1:36" x14ac:dyDescent="0.25">
      <c r="A494">
        <v>27294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 t="s">
        <v>84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80</v>
      </c>
      <c r="Y494">
        <v>0</v>
      </c>
      <c r="Z494">
        <v>0</v>
      </c>
      <c r="AA494">
        <v>0</v>
      </c>
      <c r="AB494">
        <v>80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</row>
    <row r="495" spans="1:36" x14ac:dyDescent="0.25">
      <c r="A495">
        <v>27295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 t="s">
        <v>84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120</v>
      </c>
      <c r="Y495">
        <v>0</v>
      </c>
      <c r="Z495">
        <v>0</v>
      </c>
      <c r="AA495">
        <v>0</v>
      </c>
      <c r="AB495">
        <v>120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</row>
    <row r="496" spans="1:36" x14ac:dyDescent="0.25">
      <c r="A496">
        <v>27296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 t="s">
        <v>84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250</v>
      </c>
      <c r="Y496">
        <v>0</v>
      </c>
      <c r="Z496">
        <v>0</v>
      </c>
      <c r="AA496">
        <v>0</v>
      </c>
      <c r="AB496">
        <v>250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</row>
    <row r="497" spans="1:36" x14ac:dyDescent="0.25">
      <c r="A497">
        <v>27297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 t="s">
        <v>84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500</v>
      </c>
      <c r="Y497">
        <v>0</v>
      </c>
      <c r="Z497">
        <v>0</v>
      </c>
      <c r="AA497">
        <v>0</v>
      </c>
      <c r="AB497">
        <v>500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</row>
    <row r="498" spans="1:36" x14ac:dyDescent="0.25">
      <c r="A498">
        <v>22001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 t="s">
        <v>85</v>
      </c>
      <c r="K498">
        <v>0</v>
      </c>
      <c r="L498" s="1">
        <v>40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</row>
    <row r="499" spans="1:36" x14ac:dyDescent="0.25">
      <c r="A499">
        <v>22002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 t="s">
        <v>85</v>
      </c>
      <c r="K499">
        <v>0</v>
      </c>
      <c r="L499" s="1">
        <v>80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</row>
    <row r="500" spans="1:36" x14ac:dyDescent="0.25">
      <c r="A500">
        <v>22003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 t="s">
        <v>85</v>
      </c>
      <c r="K500">
        <v>0</v>
      </c>
      <c r="L500" s="1">
        <v>120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</row>
    <row r="501" spans="1:36" x14ac:dyDescent="0.25">
      <c r="A501">
        <v>22004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 t="s">
        <v>85</v>
      </c>
      <c r="K501">
        <v>0</v>
      </c>
      <c r="L501" s="1">
        <v>180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</row>
    <row r="502" spans="1:36" x14ac:dyDescent="0.25">
      <c r="A502">
        <v>22005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 t="s">
        <v>85</v>
      </c>
      <c r="K502">
        <v>0</v>
      </c>
      <c r="L502" s="1">
        <v>270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</row>
    <row r="503" spans="1:36" x14ac:dyDescent="0.25">
      <c r="A503">
        <v>22006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 t="s">
        <v>85</v>
      </c>
      <c r="K503">
        <v>0</v>
      </c>
      <c r="L503" s="1">
        <v>400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</row>
    <row r="504" spans="1:36" x14ac:dyDescent="0.25">
      <c r="A504">
        <v>22007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 t="s">
        <v>85</v>
      </c>
      <c r="K504">
        <v>0</v>
      </c>
      <c r="L504" s="1">
        <v>500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</row>
    <row r="505" spans="1:36" x14ac:dyDescent="0.25">
      <c r="A505">
        <v>22008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 t="s">
        <v>85</v>
      </c>
      <c r="K505">
        <v>0</v>
      </c>
      <c r="L505" s="1">
        <v>600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</row>
    <row r="506" spans="1:36" x14ac:dyDescent="0.25">
      <c r="A506">
        <v>22009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 t="s">
        <v>85</v>
      </c>
      <c r="K506">
        <v>0</v>
      </c>
      <c r="L506" s="1">
        <v>720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</row>
    <row r="507" spans="1:36" x14ac:dyDescent="0.25">
      <c r="A507">
        <v>22010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 t="s">
        <v>85</v>
      </c>
      <c r="K507">
        <v>0</v>
      </c>
      <c r="L507" s="1">
        <v>840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</row>
    <row r="508" spans="1:36" x14ac:dyDescent="0.25">
      <c r="A508">
        <v>22011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 t="s">
        <v>85</v>
      </c>
      <c r="K508">
        <v>0</v>
      </c>
      <c r="L508">
        <v>0</v>
      </c>
      <c r="M508" s="1">
        <v>40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</row>
    <row r="509" spans="1:36" x14ac:dyDescent="0.25">
      <c r="A509">
        <v>22012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 t="s">
        <v>85</v>
      </c>
      <c r="K509">
        <v>0</v>
      </c>
      <c r="L509">
        <v>0</v>
      </c>
      <c r="M509" s="1">
        <v>80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</row>
    <row r="510" spans="1:36" x14ac:dyDescent="0.25">
      <c r="A510">
        <v>22013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 t="s">
        <v>85</v>
      </c>
      <c r="K510">
        <v>0</v>
      </c>
      <c r="L510">
        <v>0</v>
      </c>
      <c r="M510" s="1">
        <v>120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</row>
    <row r="511" spans="1:36" x14ac:dyDescent="0.25">
      <c r="A511">
        <v>22014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 t="s">
        <v>85</v>
      </c>
      <c r="K511">
        <v>0</v>
      </c>
      <c r="L511">
        <v>0</v>
      </c>
      <c r="M511" s="1">
        <v>180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</row>
    <row r="512" spans="1:36" x14ac:dyDescent="0.25">
      <c r="A512">
        <v>22015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 t="s">
        <v>85</v>
      </c>
      <c r="K512">
        <v>0</v>
      </c>
      <c r="L512">
        <v>0</v>
      </c>
      <c r="M512" s="1">
        <v>270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</row>
    <row r="513" spans="1:36" x14ac:dyDescent="0.25">
      <c r="A513">
        <v>22016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 t="s">
        <v>85</v>
      </c>
      <c r="K513">
        <v>0</v>
      </c>
      <c r="L513">
        <v>0</v>
      </c>
      <c r="M513" s="1">
        <v>400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</row>
    <row r="514" spans="1:36" x14ac:dyDescent="0.25">
      <c r="A514">
        <v>22017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 t="s">
        <v>85</v>
      </c>
      <c r="K514">
        <v>0</v>
      </c>
      <c r="L514">
        <v>0</v>
      </c>
      <c r="M514" s="1">
        <v>500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</row>
    <row r="515" spans="1:36" x14ac:dyDescent="0.25">
      <c r="A515">
        <v>22018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 t="s">
        <v>85</v>
      </c>
      <c r="K515">
        <v>0</v>
      </c>
      <c r="L515">
        <v>0</v>
      </c>
      <c r="M515" s="1">
        <v>600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</row>
    <row r="516" spans="1:36" x14ac:dyDescent="0.25">
      <c r="A516">
        <v>22019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 t="s">
        <v>85</v>
      </c>
      <c r="K516">
        <v>0</v>
      </c>
      <c r="L516">
        <v>0</v>
      </c>
      <c r="M516" s="1">
        <v>720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</row>
    <row r="517" spans="1:36" x14ac:dyDescent="0.25">
      <c r="A517">
        <v>22020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 t="s">
        <v>85</v>
      </c>
      <c r="K517">
        <v>0</v>
      </c>
      <c r="L517">
        <v>0</v>
      </c>
      <c r="M517" s="1">
        <v>840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</row>
    <row r="518" spans="1:36" x14ac:dyDescent="0.25">
      <c r="A518">
        <v>22021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 t="s">
        <v>85</v>
      </c>
      <c r="K518">
        <v>0</v>
      </c>
      <c r="L518">
        <v>0</v>
      </c>
      <c r="M518">
        <v>0</v>
      </c>
      <c r="N518" s="1">
        <v>32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</row>
    <row r="519" spans="1:36" x14ac:dyDescent="0.25">
      <c r="A519">
        <v>22022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 t="s">
        <v>85</v>
      </c>
      <c r="K519">
        <v>0</v>
      </c>
      <c r="L519">
        <v>0</v>
      </c>
      <c r="M519">
        <v>0</v>
      </c>
      <c r="N519" s="1">
        <v>64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</row>
    <row r="520" spans="1:36" x14ac:dyDescent="0.25">
      <c r="A520">
        <v>22023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 t="s">
        <v>85</v>
      </c>
      <c r="K520">
        <v>0</v>
      </c>
      <c r="L520">
        <v>0</v>
      </c>
      <c r="M520">
        <v>0</v>
      </c>
      <c r="N520" s="1">
        <v>96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</row>
    <row r="521" spans="1:36" x14ac:dyDescent="0.25">
      <c r="A521">
        <v>22024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 t="s">
        <v>85</v>
      </c>
      <c r="K521">
        <v>0</v>
      </c>
      <c r="L521">
        <v>0</v>
      </c>
      <c r="M521">
        <v>0</v>
      </c>
      <c r="N521" s="1">
        <v>144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</row>
    <row r="522" spans="1:36" x14ac:dyDescent="0.25">
      <c r="A522">
        <v>22025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 t="s">
        <v>85</v>
      </c>
      <c r="K522">
        <v>0</v>
      </c>
      <c r="L522">
        <v>0</v>
      </c>
      <c r="M522">
        <v>0</v>
      </c>
      <c r="N522" s="1">
        <v>215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</row>
    <row r="523" spans="1:36" x14ac:dyDescent="0.25">
      <c r="A523">
        <v>22026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 t="s">
        <v>85</v>
      </c>
      <c r="K523">
        <v>0</v>
      </c>
      <c r="L523">
        <v>0</v>
      </c>
      <c r="M523">
        <v>0</v>
      </c>
      <c r="N523" s="1">
        <v>310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</row>
    <row r="524" spans="1:36" x14ac:dyDescent="0.25">
      <c r="A524">
        <v>22027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 t="s">
        <v>85</v>
      </c>
      <c r="K524">
        <v>0</v>
      </c>
      <c r="L524">
        <v>0</v>
      </c>
      <c r="M524">
        <v>0</v>
      </c>
      <c r="N524" s="1">
        <v>405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</row>
    <row r="525" spans="1:36" x14ac:dyDescent="0.25">
      <c r="A525">
        <v>22028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 t="s">
        <v>85</v>
      </c>
      <c r="K525">
        <v>0</v>
      </c>
      <c r="L525">
        <v>0</v>
      </c>
      <c r="M525">
        <v>0</v>
      </c>
      <c r="N525" s="1">
        <v>500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</row>
    <row r="526" spans="1:36" x14ac:dyDescent="0.25">
      <c r="A526">
        <v>22029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 t="s">
        <v>85</v>
      </c>
      <c r="K526">
        <v>0</v>
      </c>
      <c r="L526">
        <v>0</v>
      </c>
      <c r="M526">
        <v>0</v>
      </c>
      <c r="N526" s="1">
        <v>595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</row>
    <row r="527" spans="1:36" x14ac:dyDescent="0.25">
      <c r="A527">
        <v>22030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 t="s">
        <v>85</v>
      </c>
      <c r="K527">
        <v>0</v>
      </c>
      <c r="L527">
        <v>0</v>
      </c>
      <c r="M527">
        <v>0</v>
      </c>
      <c r="N527" s="1">
        <v>690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</row>
    <row r="528" spans="1:36" x14ac:dyDescent="0.25">
      <c r="A528">
        <v>22031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 t="s">
        <v>85</v>
      </c>
      <c r="K528">
        <v>0</v>
      </c>
      <c r="L528">
        <v>0</v>
      </c>
      <c r="M528">
        <v>0</v>
      </c>
      <c r="N528">
        <v>0</v>
      </c>
      <c r="O528" s="1">
        <v>32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</row>
    <row r="529" spans="1:36" x14ac:dyDescent="0.25">
      <c r="A529">
        <v>22032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 t="s">
        <v>85</v>
      </c>
      <c r="K529">
        <v>0</v>
      </c>
      <c r="L529">
        <v>0</v>
      </c>
      <c r="M529">
        <v>0</v>
      </c>
      <c r="N529">
        <v>0</v>
      </c>
      <c r="O529" s="1">
        <v>64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</row>
    <row r="530" spans="1:36" x14ac:dyDescent="0.25">
      <c r="A530">
        <v>22033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 t="s">
        <v>85</v>
      </c>
      <c r="K530">
        <v>0</v>
      </c>
      <c r="L530">
        <v>0</v>
      </c>
      <c r="M530">
        <v>0</v>
      </c>
      <c r="N530">
        <v>0</v>
      </c>
      <c r="O530" s="1">
        <v>96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</row>
    <row r="531" spans="1:36" x14ac:dyDescent="0.25">
      <c r="A531">
        <v>22034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 t="s">
        <v>85</v>
      </c>
      <c r="K531">
        <v>0</v>
      </c>
      <c r="L531">
        <v>0</v>
      </c>
      <c r="M531">
        <v>0</v>
      </c>
      <c r="N531">
        <v>0</v>
      </c>
      <c r="O531" s="1">
        <v>144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</row>
    <row r="532" spans="1:36" x14ac:dyDescent="0.25">
      <c r="A532">
        <v>22035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 t="s">
        <v>85</v>
      </c>
      <c r="K532">
        <v>0</v>
      </c>
      <c r="L532">
        <v>0</v>
      </c>
      <c r="M532">
        <v>0</v>
      </c>
      <c r="N532">
        <v>0</v>
      </c>
      <c r="O532" s="1">
        <v>215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</row>
    <row r="533" spans="1:36" x14ac:dyDescent="0.25">
      <c r="A533">
        <v>22036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 t="s">
        <v>85</v>
      </c>
      <c r="K533">
        <v>0</v>
      </c>
      <c r="L533">
        <v>0</v>
      </c>
      <c r="M533">
        <v>0</v>
      </c>
      <c r="N533">
        <v>0</v>
      </c>
      <c r="O533" s="1">
        <v>310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</row>
    <row r="534" spans="1:36" x14ac:dyDescent="0.25">
      <c r="A534">
        <v>22037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 t="s">
        <v>85</v>
      </c>
      <c r="K534">
        <v>0</v>
      </c>
      <c r="L534">
        <v>0</v>
      </c>
      <c r="M534">
        <v>0</v>
      </c>
      <c r="N534">
        <v>0</v>
      </c>
      <c r="O534" s="1">
        <v>405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</row>
    <row r="535" spans="1:36" x14ac:dyDescent="0.25">
      <c r="A535">
        <v>22038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 t="s">
        <v>85</v>
      </c>
      <c r="K535">
        <v>0</v>
      </c>
      <c r="L535">
        <v>0</v>
      </c>
      <c r="M535">
        <v>0</v>
      </c>
      <c r="N535">
        <v>0</v>
      </c>
      <c r="O535" s="1">
        <v>500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</row>
    <row r="536" spans="1:36" x14ac:dyDescent="0.25">
      <c r="A536">
        <v>22039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 t="s">
        <v>85</v>
      </c>
      <c r="K536">
        <v>0</v>
      </c>
      <c r="L536">
        <v>0</v>
      </c>
      <c r="M536">
        <v>0</v>
      </c>
      <c r="N536">
        <v>0</v>
      </c>
      <c r="O536" s="1">
        <v>595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</row>
    <row r="537" spans="1:36" x14ac:dyDescent="0.25">
      <c r="A537">
        <v>22040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 t="s">
        <v>85</v>
      </c>
      <c r="K537">
        <v>0</v>
      </c>
      <c r="L537">
        <v>0</v>
      </c>
      <c r="M537">
        <v>0</v>
      </c>
      <c r="N537">
        <v>0</v>
      </c>
      <c r="O537" s="1">
        <v>690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</row>
    <row r="538" spans="1:36" x14ac:dyDescent="0.25">
      <c r="A538">
        <v>22041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 t="s">
        <v>85</v>
      </c>
      <c r="K538">
        <v>0</v>
      </c>
      <c r="L538">
        <v>0</v>
      </c>
      <c r="M538">
        <v>0</v>
      </c>
      <c r="N538">
        <v>0</v>
      </c>
      <c r="O538">
        <v>0</v>
      </c>
      <c r="P538" s="1">
        <v>200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</row>
    <row r="539" spans="1:36" x14ac:dyDescent="0.25">
      <c r="A539">
        <v>22042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 t="s">
        <v>85</v>
      </c>
      <c r="K539">
        <v>0</v>
      </c>
      <c r="L539">
        <v>0</v>
      </c>
      <c r="M539">
        <v>0</v>
      </c>
      <c r="N539">
        <v>0</v>
      </c>
      <c r="O539">
        <v>0</v>
      </c>
      <c r="P539" s="1">
        <v>350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</row>
    <row r="540" spans="1:36" x14ac:dyDescent="0.25">
      <c r="A540">
        <v>22043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 t="s">
        <v>85</v>
      </c>
      <c r="K540">
        <v>0</v>
      </c>
      <c r="L540">
        <v>0</v>
      </c>
      <c r="M540">
        <v>0</v>
      </c>
      <c r="N540">
        <v>0</v>
      </c>
      <c r="O540">
        <v>0</v>
      </c>
      <c r="P540" s="1">
        <v>500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</row>
    <row r="541" spans="1:36" x14ac:dyDescent="0.25">
      <c r="A541">
        <v>22044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 t="s">
        <v>85</v>
      </c>
      <c r="K541">
        <v>0</v>
      </c>
      <c r="L541">
        <v>0</v>
      </c>
      <c r="M541">
        <v>0</v>
      </c>
      <c r="N541">
        <v>0</v>
      </c>
      <c r="O541">
        <v>0</v>
      </c>
      <c r="P541" s="1">
        <v>750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</row>
    <row r="542" spans="1:36" x14ac:dyDescent="0.25">
      <c r="A542">
        <v>22045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 t="s">
        <v>85</v>
      </c>
      <c r="K542">
        <v>0</v>
      </c>
      <c r="L542">
        <v>0</v>
      </c>
      <c r="M542">
        <v>0</v>
      </c>
      <c r="N542">
        <v>0</v>
      </c>
      <c r="O542">
        <v>0</v>
      </c>
      <c r="P542" s="1">
        <v>1000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</row>
    <row r="543" spans="1:36" x14ac:dyDescent="0.25">
      <c r="A543">
        <v>22046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 t="s">
        <v>85</v>
      </c>
      <c r="K543">
        <v>0</v>
      </c>
      <c r="L543">
        <v>0</v>
      </c>
      <c r="M543">
        <v>0</v>
      </c>
      <c r="N543">
        <v>0</v>
      </c>
      <c r="O543">
        <v>0</v>
      </c>
      <c r="P543" s="1">
        <v>1500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</row>
    <row r="544" spans="1:36" x14ac:dyDescent="0.25">
      <c r="A544">
        <v>22047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 t="s">
        <v>85</v>
      </c>
      <c r="K544">
        <v>0</v>
      </c>
      <c r="L544">
        <v>0</v>
      </c>
      <c r="M544">
        <v>0</v>
      </c>
      <c r="N544">
        <v>0</v>
      </c>
      <c r="O544">
        <v>0</v>
      </c>
      <c r="P544" s="1">
        <v>2000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</row>
    <row r="545" spans="1:36" x14ac:dyDescent="0.25">
      <c r="A545">
        <v>22048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 t="s">
        <v>85</v>
      </c>
      <c r="K545">
        <v>0</v>
      </c>
      <c r="L545">
        <v>0</v>
      </c>
      <c r="M545">
        <v>0</v>
      </c>
      <c r="N545">
        <v>0</v>
      </c>
      <c r="O545">
        <v>0</v>
      </c>
      <c r="P545" s="1">
        <v>2500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</row>
    <row r="546" spans="1:36" x14ac:dyDescent="0.25">
      <c r="A546">
        <v>22049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 t="s">
        <v>85</v>
      </c>
      <c r="K546">
        <v>0</v>
      </c>
      <c r="L546">
        <v>0</v>
      </c>
      <c r="M546">
        <v>0</v>
      </c>
      <c r="N546">
        <v>0</v>
      </c>
      <c r="O546">
        <v>0</v>
      </c>
      <c r="P546" s="1">
        <v>3100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</row>
    <row r="547" spans="1:36" x14ac:dyDescent="0.25">
      <c r="A547">
        <v>22050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 t="s">
        <v>85</v>
      </c>
      <c r="K547">
        <v>0</v>
      </c>
      <c r="L547">
        <v>0</v>
      </c>
      <c r="M547">
        <v>0</v>
      </c>
      <c r="N547">
        <v>0</v>
      </c>
      <c r="O547">
        <v>0</v>
      </c>
      <c r="P547" s="1">
        <v>3700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</row>
    <row r="548" spans="1:36" x14ac:dyDescent="0.25">
      <c r="A548">
        <v>31028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 t="s">
        <v>85</v>
      </c>
      <c r="K548">
        <v>0</v>
      </c>
      <c r="L548">
        <v>10</v>
      </c>
      <c r="M548">
        <v>10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</row>
    <row r="549" spans="1:36" x14ac:dyDescent="0.25">
      <c r="A549">
        <v>31029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 t="s">
        <v>85</v>
      </c>
      <c r="K549">
        <v>0</v>
      </c>
      <c r="L549">
        <v>15</v>
      </c>
      <c r="M549">
        <v>15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</row>
    <row r="550" spans="1:36" x14ac:dyDescent="0.25">
      <c r="A550">
        <v>31165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 t="s">
        <v>85</v>
      </c>
      <c r="K550">
        <v>0</v>
      </c>
      <c r="L550">
        <v>20</v>
      </c>
      <c r="M550">
        <v>20</v>
      </c>
      <c r="N550">
        <v>10</v>
      </c>
      <c r="O550">
        <v>10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</row>
    <row r="551" spans="1:36" x14ac:dyDescent="0.25">
      <c r="A551">
        <v>31168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 t="s">
        <v>85</v>
      </c>
      <c r="K551">
        <v>0</v>
      </c>
      <c r="L551">
        <v>30</v>
      </c>
      <c r="M551">
        <v>30</v>
      </c>
      <c r="N551">
        <v>20</v>
      </c>
      <c r="O551">
        <v>20</v>
      </c>
      <c r="P551">
        <v>100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</row>
    <row r="552" spans="1:36" x14ac:dyDescent="0.25">
      <c r="A552">
        <v>31169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 t="s">
        <v>85</v>
      </c>
      <c r="K552">
        <v>0</v>
      </c>
      <c r="L552">
        <v>40</v>
      </c>
      <c r="M552">
        <v>40</v>
      </c>
      <c r="N552">
        <v>40</v>
      </c>
      <c r="O552">
        <v>40</v>
      </c>
      <c r="P552">
        <v>200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</row>
    <row r="553" spans="1:36" x14ac:dyDescent="0.25">
      <c r="A553">
        <v>50007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 t="s">
        <v>85</v>
      </c>
      <c r="K553" t="s">
        <v>86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1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</row>
    <row r="554" spans="1:36" x14ac:dyDescent="0.25">
      <c r="A554">
        <v>50008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 t="s">
        <v>85</v>
      </c>
      <c r="K554" t="s">
        <v>86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1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</row>
    <row r="555" spans="1:36" x14ac:dyDescent="0.25">
      <c r="A555">
        <v>50009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 t="s">
        <v>85</v>
      </c>
      <c r="K555" t="s">
        <v>86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1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</row>
    <row r="556" spans="1:36" x14ac:dyDescent="0.25">
      <c r="A556">
        <v>50010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 t="s">
        <v>85</v>
      </c>
      <c r="K556" t="s">
        <v>86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</row>
    <row r="557" spans="1:36" x14ac:dyDescent="0.25">
      <c r="A557">
        <v>50011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 t="s">
        <v>85</v>
      </c>
      <c r="K557" t="s">
        <v>86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1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</row>
    <row r="558" spans="1:36" x14ac:dyDescent="0.25">
      <c r="A558">
        <v>50012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 t="s">
        <v>85</v>
      </c>
      <c r="K558" t="s">
        <v>86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1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</row>
    <row r="559" spans="1:36" x14ac:dyDescent="0.25">
      <c r="A559">
        <v>50013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 t="s">
        <v>85</v>
      </c>
      <c r="K559" t="s">
        <v>86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1100</v>
      </c>
      <c r="R559">
        <v>1100</v>
      </c>
      <c r="S559">
        <v>1100</v>
      </c>
      <c r="T559">
        <v>1100</v>
      </c>
      <c r="U559">
        <v>1100</v>
      </c>
      <c r="V559">
        <v>1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</row>
    <row r="560" spans="1:36" x14ac:dyDescent="0.25">
      <c r="A560">
        <v>50014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 t="s">
        <v>85</v>
      </c>
      <c r="K560" t="s">
        <v>86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1100</v>
      </c>
      <c r="R560">
        <v>1100</v>
      </c>
      <c r="S560">
        <v>1100</v>
      </c>
      <c r="T560">
        <v>1100</v>
      </c>
      <c r="U560">
        <v>1100</v>
      </c>
      <c r="V560">
        <v>1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</row>
    <row r="561" spans="1:36" x14ac:dyDescent="0.25">
      <c r="A561">
        <v>50015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 t="s">
        <v>85</v>
      </c>
      <c r="K561" t="s">
        <v>86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1100</v>
      </c>
      <c r="R561">
        <v>1100</v>
      </c>
      <c r="S561">
        <v>1100</v>
      </c>
      <c r="T561">
        <v>1100</v>
      </c>
      <c r="U561">
        <v>1100</v>
      </c>
      <c r="V561">
        <v>1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</row>
    <row r="562" spans="1:36" x14ac:dyDescent="0.25">
      <c r="A562">
        <v>50016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 t="s">
        <v>85</v>
      </c>
      <c r="K562" t="s">
        <v>86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1500</v>
      </c>
      <c r="R562">
        <v>1500</v>
      </c>
      <c r="S562">
        <v>1500</v>
      </c>
      <c r="T562">
        <v>1500</v>
      </c>
      <c r="U562">
        <v>1500</v>
      </c>
      <c r="V562">
        <v>1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</row>
    <row r="563" spans="1:36" x14ac:dyDescent="0.25">
      <c r="A563">
        <v>50017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 t="s">
        <v>85</v>
      </c>
      <c r="K563" t="s">
        <v>86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1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</row>
    <row r="564" spans="1:36" x14ac:dyDescent="0.25">
      <c r="A564">
        <v>50018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 t="s">
        <v>85</v>
      </c>
      <c r="K564" t="s">
        <v>86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1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</row>
    <row r="565" spans="1:36" x14ac:dyDescent="0.25">
      <c r="A565">
        <v>50019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 t="s">
        <v>85</v>
      </c>
      <c r="K565" t="s">
        <v>86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1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</row>
    <row r="566" spans="1:36" x14ac:dyDescent="0.25">
      <c r="A566">
        <v>50020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 t="s">
        <v>85</v>
      </c>
      <c r="K566" t="s">
        <v>86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1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</row>
    <row r="567" spans="1:36" x14ac:dyDescent="0.25">
      <c r="A567">
        <v>50021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 t="s">
        <v>85</v>
      </c>
      <c r="K567" t="s">
        <v>86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1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</row>
    <row r="568" spans="1:36" x14ac:dyDescent="0.25">
      <c r="A568">
        <v>50022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 t="s">
        <v>85</v>
      </c>
      <c r="K568" t="s">
        <v>86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1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</row>
    <row r="569" spans="1:36" x14ac:dyDescent="0.25">
      <c r="A569">
        <v>50023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 t="s">
        <v>85</v>
      </c>
      <c r="K569" t="s">
        <v>86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1200</v>
      </c>
      <c r="R569">
        <v>1200</v>
      </c>
      <c r="S569">
        <v>1200</v>
      </c>
      <c r="T569">
        <v>1200</v>
      </c>
      <c r="U569">
        <v>1200</v>
      </c>
      <c r="V569">
        <v>1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</row>
    <row r="570" spans="1:36" x14ac:dyDescent="0.25">
      <c r="A570">
        <v>50024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 t="s">
        <v>85</v>
      </c>
      <c r="K570" t="s">
        <v>86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1200</v>
      </c>
      <c r="R570">
        <v>1200</v>
      </c>
      <c r="S570">
        <v>1200</v>
      </c>
      <c r="T570">
        <v>1200</v>
      </c>
      <c r="U570">
        <v>1200</v>
      </c>
      <c r="V570">
        <v>1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</row>
    <row r="571" spans="1:36" x14ac:dyDescent="0.25">
      <c r="A571">
        <v>50026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 t="s">
        <v>85</v>
      </c>
      <c r="K571" t="s">
        <v>86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1500</v>
      </c>
      <c r="R571">
        <v>1500</v>
      </c>
      <c r="S571">
        <v>1500</v>
      </c>
      <c r="T571">
        <v>1500</v>
      </c>
      <c r="U571">
        <v>1500</v>
      </c>
      <c r="V571">
        <v>1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</row>
    <row r="572" spans="1:36" x14ac:dyDescent="0.25">
      <c r="A572" s="4">
        <v>50036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 t="s">
        <v>85</v>
      </c>
      <c r="K572" t="s">
        <v>86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1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</row>
    <row r="573" spans="1:36" x14ac:dyDescent="0.25">
      <c r="A573" s="4">
        <v>50037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 t="s">
        <v>85</v>
      </c>
      <c r="K573" t="s">
        <v>86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1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</row>
    <row r="574" spans="1:36" x14ac:dyDescent="0.25">
      <c r="A574" s="4">
        <v>50038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 t="s">
        <v>85</v>
      </c>
      <c r="K574" t="s">
        <v>86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1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</row>
    <row r="575" spans="1:36" x14ac:dyDescent="0.25">
      <c r="A575" s="4">
        <v>50039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 t="s">
        <v>85</v>
      </c>
      <c r="K575" t="s">
        <v>86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1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</row>
    <row r="576" spans="1:36" x14ac:dyDescent="0.25">
      <c r="A576" s="4">
        <v>50040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 t="s">
        <v>85</v>
      </c>
      <c r="K576" t="s">
        <v>86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1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</row>
    <row r="577" spans="1:36" x14ac:dyDescent="0.25">
      <c r="A577" s="4">
        <v>50041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 t="s">
        <v>85</v>
      </c>
      <c r="K577" t="s">
        <v>86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1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</row>
    <row r="578" spans="1:36" x14ac:dyDescent="0.25">
      <c r="A578" s="4">
        <v>50042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 t="s">
        <v>85</v>
      </c>
      <c r="K578" t="s">
        <v>86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1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</row>
    <row r="579" spans="1:36" x14ac:dyDescent="0.25">
      <c r="A579" s="4">
        <v>50043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 t="s">
        <v>85</v>
      </c>
      <c r="K579" t="s">
        <v>86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1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</row>
    <row r="580" spans="1:36" x14ac:dyDescent="0.25">
      <c r="A580" s="4">
        <v>50044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 t="s">
        <v>85</v>
      </c>
      <c r="K580" t="s">
        <v>86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1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</row>
    <row r="581" spans="1:36" x14ac:dyDescent="0.25">
      <c r="A581" s="4">
        <v>50045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 t="s">
        <v>85</v>
      </c>
      <c r="K581" t="s">
        <v>86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1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</row>
    <row r="582" spans="1:36" x14ac:dyDescent="0.25">
      <c r="A582">
        <v>52017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 t="s">
        <v>85</v>
      </c>
      <c r="K582" t="s">
        <v>86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500</v>
      </c>
      <c r="R582">
        <v>500</v>
      </c>
      <c r="S582">
        <v>500</v>
      </c>
      <c r="T582">
        <v>500</v>
      </c>
      <c r="U582">
        <v>500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</row>
    <row r="583" spans="1:36" x14ac:dyDescent="0.25">
      <c r="A583">
        <v>52018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 t="s">
        <v>85</v>
      </c>
      <c r="K583" t="s">
        <v>86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500</v>
      </c>
      <c r="R583">
        <v>500</v>
      </c>
      <c r="S583">
        <v>500</v>
      </c>
      <c r="T583">
        <v>500</v>
      </c>
      <c r="U583">
        <v>500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</row>
    <row r="584" spans="1:36" x14ac:dyDescent="0.25">
      <c r="A584">
        <v>52019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 t="s">
        <v>85</v>
      </c>
      <c r="K584" t="s">
        <v>86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500</v>
      </c>
      <c r="R584">
        <v>500</v>
      </c>
      <c r="S584">
        <v>500</v>
      </c>
      <c r="T584">
        <v>500</v>
      </c>
      <c r="U584">
        <v>500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</row>
    <row r="585" spans="1:36" x14ac:dyDescent="0.25">
      <c r="A585">
        <v>52020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 t="s">
        <v>85</v>
      </c>
      <c r="K585" t="s">
        <v>86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1000</v>
      </c>
      <c r="R585">
        <v>1000</v>
      </c>
      <c r="S585">
        <v>1000</v>
      </c>
      <c r="T585">
        <v>1000</v>
      </c>
      <c r="U585">
        <v>1000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</row>
    <row r="586" spans="1:36" x14ac:dyDescent="0.25">
      <c r="A586">
        <v>52021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 t="s">
        <v>85</v>
      </c>
      <c r="K586" t="s">
        <v>86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500</v>
      </c>
      <c r="R586">
        <v>500</v>
      </c>
      <c r="S586">
        <v>500</v>
      </c>
      <c r="T586">
        <v>500</v>
      </c>
      <c r="U586">
        <v>500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</row>
    <row r="587" spans="1:36" x14ac:dyDescent="0.25">
      <c r="A587">
        <v>52011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 t="s">
        <v>85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500</v>
      </c>
      <c r="R587">
        <v>500</v>
      </c>
      <c r="S587">
        <v>500</v>
      </c>
      <c r="T587">
        <v>500</v>
      </c>
      <c r="U587">
        <v>500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</row>
    <row r="588" spans="1:36" x14ac:dyDescent="0.25">
      <c r="A588">
        <v>52015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 t="s">
        <v>85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300</v>
      </c>
      <c r="R588">
        <v>300</v>
      </c>
      <c r="S588">
        <v>300</v>
      </c>
      <c r="T588">
        <v>300</v>
      </c>
      <c r="U588">
        <v>300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</row>
    <row r="589" spans="1:36" x14ac:dyDescent="0.25">
      <c r="A589">
        <v>52022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 t="s">
        <v>85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300</v>
      </c>
      <c r="R589">
        <v>300</v>
      </c>
      <c r="S589">
        <v>300</v>
      </c>
      <c r="T589">
        <v>300</v>
      </c>
      <c r="U589">
        <v>300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</row>
    <row r="590" spans="1:36" x14ac:dyDescent="0.25">
      <c r="A590">
        <v>52008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 t="s">
        <v>85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300</v>
      </c>
      <c r="R590">
        <v>300</v>
      </c>
      <c r="S590">
        <v>300</v>
      </c>
      <c r="T590">
        <v>300</v>
      </c>
      <c r="U590">
        <v>300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</row>
    <row r="591" spans="1:36" x14ac:dyDescent="0.25">
      <c r="A591">
        <v>52009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 t="s">
        <v>85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300</v>
      </c>
      <c r="R591">
        <v>300</v>
      </c>
      <c r="S591">
        <v>300</v>
      </c>
      <c r="T591">
        <v>300</v>
      </c>
      <c r="U591">
        <v>300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</row>
    <row r="592" spans="1:36" x14ac:dyDescent="0.25">
      <c r="A592">
        <v>52010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 t="s">
        <v>85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300</v>
      </c>
      <c r="R592">
        <v>300</v>
      </c>
      <c r="S592">
        <v>300</v>
      </c>
      <c r="T592">
        <v>300</v>
      </c>
      <c r="U592">
        <v>300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</row>
    <row r="593" spans="1:36" x14ac:dyDescent="0.25">
      <c r="A593">
        <v>52023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 t="s">
        <v>85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500</v>
      </c>
      <c r="R593">
        <v>500</v>
      </c>
      <c r="S593">
        <v>500</v>
      </c>
      <c r="T593">
        <v>500</v>
      </c>
      <c r="U593">
        <v>500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</row>
    <row r="594" spans="1:36" x14ac:dyDescent="0.25">
      <c r="A594">
        <v>52024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 t="s">
        <v>85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300</v>
      </c>
      <c r="R594">
        <v>300</v>
      </c>
      <c r="S594">
        <v>300</v>
      </c>
      <c r="T594">
        <v>300</v>
      </c>
      <c r="U594">
        <v>300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</row>
    <row r="595" spans="1:36" x14ac:dyDescent="0.25">
      <c r="A595">
        <v>52025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 t="s">
        <v>85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300</v>
      </c>
      <c r="R595">
        <v>300</v>
      </c>
      <c r="S595">
        <v>300</v>
      </c>
      <c r="T595">
        <v>300</v>
      </c>
      <c r="U595">
        <v>300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</row>
    <row r="596" spans="1:36" x14ac:dyDescent="0.25">
      <c r="A596">
        <v>52026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 t="s">
        <v>85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300</v>
      </c>
      <c r="R596">
        <v>300</v>
      </c>
      <c r="S596">
        <v>300</v>
      </c>
      <c r="T596">
        <v>300</v>
      </c>
      <c r="U596">
        <v>300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</row>
    <row r="597" spans="1:36" x14ac:dyDescent="0.25">
      <c r="A597">
        <v>52027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 t="s">
        <v>85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500</v>
      </c>
      <c r="R597">
        <v>500</v>
      </c>
      <c r="S597">
        <v>500</v>
      </c>
      <c r="T597">
        <v>500</v>
      </c>
      <c r="U597">
        <v>500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</row>
    <row r="598" spans="1:36" x14ac:dyDescent="0.25">
      <c r="A598">
        <v>52028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 t="s">
        <v>85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500</v>
      </c>
      <c r="R598">
        <v>500</v>
      </c>
      <c r="S598">
        <v>500</v>
      </c>
      <c r="T598">
        <v>500</v>
      </c>
      <c r="U598">
        <v>500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</row>
    <row r="599" spans="1:36" x14ac:dyDescent="0.25">
      <c r="A599">
        <v>52029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 t="s">
        <v>85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500</v>
      </c>
      <c r="R599">
        <v>500</v>
      </c>
      <c r="S599">
        <v>500</v>
      </c>
      <c r="T599">
        <v>500</v>
      </c>
      <c r="U599">
        <v>500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</row>
    <row r="600" spans="1:36" x14ac:dyDescent="0.25">
      <c r="A600">
        <v>52030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 t="s">
        <v>85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500</v>
      </c>
      <c r="R600">
        <v>500</v>
      </c>
      <c r="S600">
        <v>500</v>
      </c>
      <c r="T600">
        <v>500</v>
      </c>
      <c r="U600">
        <v>500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</row>
    <row r="601" spans="1:36" x14ac:dyDescent="0.25">
      <c r="A601">
        <v>52037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 t="s">
        <v>85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500</v>
      </c>
      <c r="R601">
        <v>500</v>
      </c>
      <c r="S601">
        <v>500</v>
      </c>
      <c r="T601">
        <v>500</v>
      </c>
      <c r="U601">
        <v>500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</row>
    <row r="602" spans="1:36" x14ac:dyDescent="0.25">
      <c r="A602">
        <v>52038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 t="s">
        <v>85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500</v>
      </c>
      <c r="R602">
        <v>500</v>
      </c>
      <c r="S602">
        <v>500</v>
      </c>
      <c r="T602">
        <v>500</v>
      </c>
      <c r="U602">
        <v>500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</row>
    <row r="603" spans="1:36" x14ac:dyDescent="0.25">
      <c r="A603">
        <v>52039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 t="s">
        <v>85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500</v>
      </c>
      <c r="R603">
        <v>500</v>
      </c>
      <c r="S603">
        <v>500</v>
      </c>
      <c r="T603">
        <v>500</v>
      </c>
      <c r="U603">
        <v>500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</row>
    <row r="604" spans="1:36" x14ac:dyDescent="0.25">
      <c r="A604">
        <v>52040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 t="s">
        <v>85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1200</v>
      </c>
      <c r="R604">
        <v>1200</v>
      </c>
      <c r="S604">
        <v>1200</v>
      </c>
      <c r="T604">
        <v>1200</v>
      </c>
      <c r="U604">
        <v>1200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</row>
    <row r="605" spans="1:36" x14ac:dyDescent="0.25">
      <c r="A605">
        <v>52041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 t="s">
        <v>85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300</v>
      </c>
      <c r="R605">
        <v>300</v>
      </c>
      <c r="S605">
        <v>300</v>
      </c>
      <c r="T605">
        <v>300</v>
      </c>
      <c r="U605">
        <v>300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</row>
    <row r="606" spans="1:36" x14ac:dyDescent="0.25">
      <c r="A606">
        <v>52042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 t="s">
        <v>85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300</v>
      </c>
      <c r="R606">
        <v>300</v>
      </c>
      <c r="S606">
        <v>300</v>
      </c>
      <c r="T606">
        <v>300</v>
      </c>
      <c r="U606">
        <v>300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</row>
    <row r="607" spans="1:36" x14ac:dyDescent="0.25">
      <c r="A607">
        <v>52044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 t="s">
        <v>85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300</v>
      </c>
      <c r="R607">
        <v>300</v>
      </c>
      <c r="S607">
        <v>300</v>
      </c>
      <c r="T607">
        <v>300</v>
      </c>
      <c r="U607">
        <v>300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</row>
    <row r="608" spans="1:36" x14ac:dyDescent="0.25">
      <c r="A608">
        <v>52045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 t="s">
        <v>85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500</v>
      </c>
      <c r="R608">
        <v>500</v>
      </c>
      <c r="S608">
        <v>500</v>
      </c>
      <c r="T608">
        <v>500</v>
      </c>
      <c r="U608">
        <v>500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</row>
    <row r="609" spans="1:36" x14ac:dyDescent="0.25">
      <c r="A609">
        <v>52046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 t="s">
        <v>85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500</v>
      </c>
      <c r="R609">
        <v>500</v>
      </c>
      <c r="S609">
        <v>500</v>
      </c>
      <c r="T609">
        <v>500</v>
      </c>
      <c r="U609">
        <v>500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</row>
    <row r="610" spans="1:36" x14ac:dyDescent="0.25">
      <c r="A610">
        <v>52047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 t="s">
        <v>85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1000</v>
      </c>
      <c r="R610">
        <v>1000</v>
      </c>
      <c r="S610">
        <v>1000</v>
      </c>
      <c r="T610">
        <v>1000</v>
      </c>
      <c r="U610">
        <v>1000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</row>
    <row r="611" spans="1:36" x14ac:dyDescent="0.25">
      <c r="A611">
        <v>52048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 t="s">
        <v>85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500</v>
      </c>
      <c r="R611">
        <v>500</v>
      </c>
      <c r="S611">
        <v>500</v>
      </c>
      <c r="T611">
        <v>500</v>
      </c>
      <c r="U611">
        <v>500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</row>
    <row r="612" spans="1:36" x14ac:dyDescent="0.25">
      <c r="A612">
        <v>52050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 t="s">
        <v>85</v>
      </c>
      <c r="K612">
        <v>0</v>
      </c>
      <c r="L612">
        <v>75</v>
      </c>
      <c r="M612">
        <v>75</v>
      </c>
      <c r="N612">
        <v>60</v>
      </c>
      <c r="O612">
        <v>60</v>
      </c>
      <c r="P612">
        <v>375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</row>
    <row r="613" spans="1:36" x14ac:dyDescent="0.25">
      <c r="A613">
        <v>52051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 t="s">
        <v>85</v>
      </c>
      <c r="K613">
        <v>0</v>
      </c>
      <c r="L613">
        <v>75</v>
      </c>
      <c r="M613">
        <v>75</v>
      </c>
      <c r="N613">
        <v>60</v>
      </c>
      <c r="O613">
        <v>60</v>
      </c>
      <c r="P613">
        <v>375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</row>
    <row r="614" spans="1:36" x14ac:dyDescent="0.25">
      <c r="A614">
        <v>52052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 t="s">
        <v>85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800</v>
      </c>
      <c r="R614">
        <v>800</v>
      </c>
      <c r="S614">
        <v>800</v>
      </c>
      <c r="T614">
        <v>800</v>
      </c>
      <c r="U614">
        <v>800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</row>
    <row r="615" spans="1:36" x14ac:dyDescent="0.25">
      <c r="A615">
        <v>52053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 t="s">
        <v>85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500</v>
      </c>
      <c r="R615">
        <v>500</v>
      </c>
      <c r="S615">
        <v>500</v>
      </c>
      <c r="T615">
        <v>500</v>
      </c>
      <c r="U615">
        <v>500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</row>
    <row r="616" spans="1:36" x14ac:dyDescent="0.25">
      <c r="A616">
        <v>52054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 t="s">
        <v>85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1000</v>
      </c>
      <c r="R616">
        <v>1000</v>
      </c>
      <c r="S616">
        <v>1000</v>
      </c>
      <c r="T616">
        <v>1000</v>
      </c>
      <c r="U616">
        <v>1000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</row>
    <row r="617" spans="1:36" x14ac:dyDescent="0.25">
      <c r="A617">
        <v>52055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 t="s">
        <v>85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300</v>
      </c>
      <c r="R617">
        <v>300</v>
      </c>
      <c r="S617">
        <v>300</v>
      </c>
      <c r="T617">
        <v>300</v>
      </c>
      <c r="U617">
        <v>300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</row>
    <row r="618" spans="1:36" x14ac:dyDescent="0.25">
      <c r="A618">
        <v>52056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 t="s">
        <v>85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500</v>
      </c>
      <c r="R618">
        <v>500</v>
      </c>
      <c r="S618">
        <v>500</v>
      </c>
      <c r="T618">
        <v>500</v>
      </c>
      <c r="U618">
        <v>500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</row>
    <row r="619" spans="1:36" x14ac:dyDescent="0.25">
      <c r="A619">
        <v>52057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 t="s">
        <v>85</v>
      </c>
      <c r="K619">
        <v>0</v>
      </c>
      <c r="L619">
        <v>240</v>
      </c>
      <c r="M619">
        <v>240</v>
      </c>
      <c r="N619">
        <v>180</v>
      </c>
      <c r="O619">
        <v>180</v>
      </c>
      <c r="P619">
        <v>480</v>
      </c>
      <c r="Q619">
        <v>1000</v>
      </c>
      <c r="R619">
        <v>1000</v>
      </c>
      <c r="S619">
        <v>1000</v>
      </c>
      <c r="T619">
        <v>1000</v>
      </c>
      <c r="U619">
        <v>1000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</row>
    <row r="620" spans="1:36" x14ac:dyDescent="0.25">
      <c r="A620">
        <v>52058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 t="s">
        <v>85</v>
      </c>
      <c r="K620">
        <v>0</v>
      </c>
      <c r="L620">
        <v>180</v>
      </c>
      <c r="M620">
        <v>180</v>
      </c>
      <c r="N620">
        <v>120</v>
      </c>
      <c r="O620">
        <v>120</v>
      </c>
      <c r="P620">
        <v>360</v>
      </c>
      <c r="Q620">
        <v>1000</v>
      </c>
      <c r="R620">
        <v>1000</v>
      </c>
      <c r="S620">
        <v>1000</v>
      </c>
      <c r="T620">
        <v>1000</v>
      </c>
      <c r="U620">
        <v>1000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</row>
    <row r="621" spans="1:36" x14ac:dyDescent="0.25">
      <c r="A621">
        <v>52059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 t="s">
        <v>85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500</v>
      </c>
      <c r="R621">
        <v>500</v>
      </c>
      <c r="S621">
        <v>500</v>
      </c>
      <c r="T621">
        <v>500</v>
      </c>
      <c r="U621">
        <v>500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</row>
    <row r="622" spans="1:36" x14ac:dyDescent="0.25">
      <c r="A622">
        <v>52060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 t="s">
        <v>85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1000</v>
      </c>
      <c r="R622">
        <v>1000</v>
      </c>
      <c r="S622">
        <v>1000</v>
      </c>
      <c r="T622">
        <v>1000</v>
      </c>
      <c r="U622">
        <v>1000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</row>
    <row r="623" spans="1:36" x14ac:dyDescent="0.25">
      <c r="A623">
        <v>52061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 t="s">
        <v>85</v>
      </c>
      <c r="K623">
        <v>0</v>
      </c>
      <c r="L623">
        <v>50</v>
      </c>
      <c r="M623">
        <v>50</v>
      </c>
      <c r="N623">
        <v>50</v>
      </c>
      <c r="O623">
        <v>50</v>
      </c>
      <c r="P623">
        <v>375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</row>
    <row r="624" spans="1:36" x14ac:dyDescent="0.25">
      <c r="A624">
        <v>52062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 t="s">
        <v>85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500</v>
      </c>
      <c r="R624">
        <v>500</v>
      </c>
      <c r="S624">
        <v>500</v>
      </c>
      <c r="T624">
        <v>500</v>
      </c>
      <c r="U624">
        <v>500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</row>
    <row r="625" spans="1:36" x14ac:dyDescent="0.25">
      <c r="A625">
        <v>52063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 t="s">
        <v>85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700</v>
      </c>
      <c r="R625">
        <v>700</v>
      </c>
      <c r="S625">
        <v>700</v>
      </c>
      <c r="T625">
        <v>700</v>
      </c>
      <c r="U625">
        <v>700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</row>
    <row r="626" spans="1:36" x14ac:dyDescent="0.25">
      <c r="A626">
        <v>52064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 t="s">
        <v>85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1000</v>
      </c>
      <c r="R626">
        <v>1000</v>
      </c>
      <c r="S626">
        <v>1000</v>
      </c>
      <c r="T626">
        <v>1000</v>
      </c>
      <c r="U626">
        <v>1000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</row>
    <row r="627" spans="1:36" x14ac:dyDescent="0.25">
      <c r="A627">
        <v>52065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 t="s">
        <v>85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1000</v>
      </c>
      <c r="R627">
        <v>1000</v>
      </c>
      <c r="S627">
        <v>1000</v>
      </c>
      <c r="T627">
        <v>1000</v>
      </c>
      <c r="U627">
        <v>1000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</row>
    <row r="628" spans="1:36" x14ac:dyDescent="0.25">
      <c r="A628">
        <v>52067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 t="s">
        <v>85</v>
      </c>
      <c r="K628">
        <v>0</v>
      </c>
      <c r="L628">
        <v>300</v>
      </c>
      <c r="M628">
        <v>300</v>
      </c>
      <c r="N628">
        <v>240</v>
      </c>
      <c r="O628">
        <v>240</v>
      </c>
      <c r="P628">
        <v>600</v>
      </c>
      <c r="Q628">
        <v>1000</v>
      </c>
      <c r="R628">
        <v>1000</v>
      </c>
      <c r="S628">
        <v>1000</v>
      </c>
      <c r="T628">
        <v>1000</v>
      </c>
      <c r="U628">
        <v>1000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</row>
    <row r="629" spans="1:36" x14ac:dyDescent="0.25">
      <c r="A629">
        <v>52068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 t="s">
        <v>85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1000</v>
      </c>
      <c r="R629">
        <v>1000</v>
      </c>
      <c r="S629">
        <v>1000</v>
      </c>
      <c r="T629">
        <v>1000</v>
      </c>
      <c r="U629">
        <v>1000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</row>
    <row r="630" spans="1:36" x14ac:dyDescent="0.25">
      <c r="A630">
        <v>52071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 t="s">
        <v>85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1000</v>
      </c>
      <c r="R630">
        <v>1000</v>
      </c>
      <c r="S630">
        <v>1000</v>
      </c>
      <c r="T630">
        <v>1000</v>
      </c>
      <c r="U630">
        <v>1000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</row>
    <row r="631" spans="1:36" x14ac:dyDescent="0.25">
      <c r="A631">
        <v>52072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 t="s">
        <v>85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1000</v>
      </c>
      <c r="R631">
        <v>1000</v>
      </c>
      <c r="S631">
        <v>1000</v>
      </c>
      <c r="T631">
        <v>1000</v>
      </c>
      <c r="U631">
        <v>1000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</row>
    <row r="632" spans="1:36" x14ac:dyDescent="0.25">
      <c r="A632">
        <v>31008</v>
      </c>
      <c r="B632" t="s">
        <v>79</v>
      </c>
      <c r="C632">
        <v>0</v>
      </c>
      <c r="D632">
        <v>3</v>
      </c>
      <c r="E632">
        <v>3</v>
      </c>
      <c r="F632">
        <v>0</v>
      </c>
      <c r="G632">
        <v>0</v>
      </c>
      <c r="H632">
        <v>0</v>
      </c>
      <c r="I632">
        <v>0</v>
      </c>
      <c r="J632" t="s">
        <v>74</v>
      </c>
      <c r="K632" t="s">
        <v>82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</row>
    <row r="633" spans="1:36" x14ac:dyDescent="0.25">
      <c r="A633">
        <v>20113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 t="s">
        <v>85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300</v>
      </c>
      <c r="R633">
        <v>0</v>
      </c>
      <c r="S633">
        <v>300</v>
      </c>
      <c r="T633">
        <v>300</v>
      </c>
      <c r="U633">
        <v>300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</row>
    <row r="634" spans="1:36" x14ac:dyDescent="0.25">
      <c r="A634">
        <v>20114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 t="s">
        <v>85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300</v>
      </c>
      <c r="S634">
        <v>300</v>
      </c>
      <c r="T634">
        <v>300</v>
      </c>
      <c r="U634">
        <v>300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</row>
    <row r="635" spans="1:36" x14ac:dyDescent="0.25">
      <c r="A635">
        <v>20115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 t="s">
        <v>85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300</v>
      </c>
      <c r="R635">
        <v>0</v>
      </c>
      <c r="S635">
        <v>300</v>
      </c>
      <c r="T635">
        <v>300</v>
      </c>
      <c r="U635">
        <v>300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</row>
    <row r="636" spans="1:36" x14ac:dyDescent="0.25">
      <c r="A636">
        <v>20116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 t="s">
        <v>85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300</v>
      </c>
      <c r="S636">
        <v>300</v>
      </c>
      <c r="T636">
        <v>300</v>
      </c>
      <c r="U636">
        <v>300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</row>
    <row r="637" spans="1:36" x14ac:dyDescent="0.25">
      <c r="A637">
        <v>20117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 t="s">
        <v>85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300</v>
      </c>
      <c r="S637">
        <v>300</v>
      </c>
      <c r="T637">
        <v>300</v>
      </c>
      <c r="U637">
        <v>300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</row>
    <row r="638" spans="1:36" x14ac:dyDescent="0.25">
      <c r="A638">
        <v>20118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 t="s">
        <v>85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300</v>
      </c>
      <c r="S638">
        <v>300</v>
      </c>
      <c r="T638">
        <v>300</v>
      </c>
      <c r="U638">
        <v>300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</row>
    <row r="639" spans="1:36" x14ac:dyDescent="0.25">
      <c r="A639">
        <v>20121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 t="s">
        <v>85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300</v>
      </c>
      <c r="R639">
        <v>0</v>
      </c>
      <c r="S639">
        <v>300</v>
      </c>
      <c r="T639">
        <v>300</v>
      </c>
      <c r="U639">
        <v>300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</row>
    <row r="640" spans="1:36" x14ac:dyDescent="0.25">
      <c r="A640">
        <v>20122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 t="s">
        <v>85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300</v>
      </c>
      <c r="S640">
        <v>300</v>
      </c>
      <c r="T640">
        <v>300</v>
      </c>
      <c r="U640">
        <v>300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</row>
    <row r="641" spans="1:36" x14ac:dyDescent="0.25">
      <c r="A641">
        <v>20123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 t="s">
        <v>85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300</v>
      </c>
      <c r="R641">
        <v>0</v>
      </c>
      <c r="S641">
        <v>300</v>
      </c>
      <c r="T641">
        <v>300</v>
      </c>
      <c r="U641">
        <v>300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</row>
    <row r="642" spans="1:36" x14ac:dyDescent="0.25">
      <c r="A642">
        <v>20124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 t="s">
        <v>85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300</v>
      </c>
      <c r="S642">
        <v>300</v>
      </c>
      <c r="T642">
        <v>300</v>
      </c>
      <c r="U642">
        <v>300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</row>
    <row r="643" spans="1:36" x14ac:dyDescent="0.25">
      <c r="A643">
        <v>20125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 t="s">
        <v>85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300</v>
      </c>
      <c r="S643">
        <v>300</v>
      </c>
      <c r="T643">
        <v>300</v>
      </c>
      <c r="U643">
        <v>300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</row>
    <row r="644" spans="1:36" x14ac:dyDescent="0.25">
      <c r="A644">
        <v>20126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 t="s">
        <v>85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300</v>
      </c>
      <c r="S644">
        <v>300</v>
      </c>
      <c r="T644">
        <v>300</v>
      </c>
      <c r="U644">
        <v>300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</row>
    <row r="645" spans="1:36" x14ac:dyDescent="0.25">
      <c r="A645">
        <v>20131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 t="s">
        <v>85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300</v>
      </c>
      <c r="R645">
        <v>0</v>
      </c>
      <c r="S645">
        <v>300</v>
      </c>
      <c r="T645">
        <v>300</v>
      </c>
      <c r="U645">
        <v>300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</row>
    <row r="646" spans="1:36" x14ac:dyDescent="0.25">
      <c r="A646">
        <v>20132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 t="s">
        <v>85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300</v>
      </c>
      <c r="S646">
        <v>300</v>
      </c>
      <c r="T646">
        <v>300</v>
      </c>
      <c r="U646">
        <v>300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</row>
    <row r="647" spans="1:36" x14ac:dyDescent="0.25">
      <c r="A647">
        <v>20133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 t="s">
        <v>85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300</v>
      </c>
      <c r="R647">
        <v>0</v>
      </c>
      <c r="S647">
        <v>300</v>
      </c>
      <c r="T647">
        <v>300</v>
      </c>
      <c r="U647">
        <v>300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</row>
    <row r="648" spans="1:36" x14ac:dyDescent="0.25">
      <c r="A648">
        <v>20134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 t="s">
        <v>85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300</v>
      </c>
      <c r="S648">
        <v>300</v>
      </c>
      <c r="T648">
        <v>300</v>
      </c>
      <c r="U648">
        <v>300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</row>
    <row r="649" spans="1:36" x14ac:dyDescent="0.25">
      <c r="A649">
        <v>20135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 t="s">
        <v>85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300</v>
      </c>
      <c r="S649">
        <v>300</v>
      </c>
      <c r="T649">
        <v>300</v>
      </c>
      <c r="U649">
        <v>300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</row>
    <row r="650" spans="1:36" x14ac:dyDescent="0.25">
      <c r="A650">
        <v>20136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 t="s">
        <v>85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300</v>
      </c>
      <c r="S650">
        <v>300</v>
      </c>
      <c r="T650">
        <v>300</v>
      </c>
      <c r="U650">
        <v>300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</row>
    <row r="651" spans="1:36" x14ac:dyDescent="0.25">
      <c r="A651">
        <v>20141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 t="s">
        <v>85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300</v>
      </c>
      <c r="R651">
        <v>0</v>
      </c>
      <c r="S651">
        <v>300</v>
      </c>
      <c r="T651">
        <v>300</v>
      </c>
      <c r="U651">
        <v>300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</row>
    <row r="652" spans="1:36" x14ac:dyDescent="0.25">
      <c r="A652">
        <v>20142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 t="s">
        <v>85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300</v>
      </c>
      <c r="S652">
        <v>300</v>
      </c>
      <c r="T652">
        <v>300</v>
      </c>
      <c r="U652">
        <v>300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</row>
    <row r="653" spans="1:36" x14ac:dyDescent="0.25">
      <c r="A653">
        <v>20143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 t="s">
        <v>85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300</v>
      </c>
      <c r="R653">
        <v>0</v>
      </c>
      <c r="S653">
        <v>300</v>
      </c>
      <c r="T653">
        <v>300</v>
      </c>
      <c r="U653">
        <v>300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</row>
    <row r="654" spans="1:36" x14ac:dyDescent="0.25">
      <c r="A654">
        <v>20144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 t="s">
        <v>85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300</v>
      </c>
      <c r="S654">
        <v>300</v>
      </c>
      <c r="T654">
        <v>300</v>
      </c>
      <c r="U654">
        <v>300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</row>
    <row r="655" spans="1:36" x14ac:dyDescent="0.25">
      <c r="A655">
        <v>20145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 t="s">
        <v>85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300</v>
      </c>
      <c r="S655">
        <v>300</v>
      </c>
      <c r="T655">
        <v>300</v>
      </c>
      <c r="U655">
        <v>300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</row>
    <row r="656" spans="1:36" x14ac:dyDescent="0.25">
      <c r="A656">
        <v>20146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 t="s">
        <v>85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300</v>
      </c>
      <c r="S656">
        <v>300</v>
      </c>
      <c r="T656">
        <v>300</v>
      </c>
      <c r="U656">
        <v>300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</row>
    <row r="657" spans="1:36" x14ac:dyDescent="0.25">
      <c r="A657">
        <v>20631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 t="s">
        <v>85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200</v>
      </c>
      <c r="R657">
        <v>200</v>
      </c>
      <c r="S657">
        <v>200</v>
      </c>
      <c r="T657">
        <v>200</v>
      </c>
      <c r="U657">
        <v>200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</row>
    <row r="658" spans="1:36" x14ac:dyDescent="0.25">
      <c r="A658">
        <v>20632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 t="s">
        <v>85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200</v>
      </c>
      <c r="R658">
        <v>200</v>
      </c>
      <c r="S658">
        <v>200</v>
      </c>
      <c r="T658">
        <v>200</v>
      </c>
      <c r="U658">
        <v>200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</row>
    <row r="659" spans="1:36" x14ac:dyDescent="0.25">
      <c r="A659">
        <v>20633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 t="s">
        <v>85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200</v>
      </c>
      <c r="R659">
        <v>200</v>
      </c>
      <c r="S659">
        <v>200</v>
      </c>
      <c r="T659">
        <v>200</v>
      </c>
      <c r="U659">
        <v>200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</row>
    <row r="660" spans="1:36" x14ac:dyDescent="0.25">
      <c r="A660">
        <v>20634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 t="s">
        <v>85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200</v>
      </c>
      <c r="R660">
        <v>200</v>
      </c>
      <c r="S660">
        <v>200</v>
      </c>
      <c r="T660">
        <v>200</v>
      </c>
      <c r="U660">
        <v>200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</row>
    <row r="661" spans="1:36" x14ac:dyDescent="0.25">
      <c r="A661">
        <v>20635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 t="s">
        <v>85</v>
      </c>
      <c r="K661">
        <v>0</v>
      </c>
      <c r="L661">
        <v>200</v>
      </c>
      <c r="M661">
        <v>200</v>
      </c>
      <c r="N661">
        <v>0</v>
      </c>
      <c r="O661">
        <v>0</v>
      </c>
      <c r="P661">
        <v>1000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</row>
    <row r="662" spans="1:36" x14ac:dyDescent="0.25">
      <c r="A662">
        <v>20636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 t="s">
        <v>85</v>
      </c>
      <c r="K662">
        <v>0</v>
      </c>
      <c r="L662">
        <v>200</v>
      </c>
      <c r="M662">
        <v>200</v>
      </c>
      <c r="N662">
        <v>0</v>
      </c>
      <c r="O662">
        <v>0</v>
      </c>
      <c r="P662">
        <v>1000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</row>
    <row r="663" spans="1:36" x14ac:dyDescent="0.25">
      <c r="A663">
        <v>20637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 t="s">
        <v>85</v>
      </c>
      <c r="K663">
        <v>0</v>
      </c>
      <c r="L663">
        <v>200</v>
      </c>
      <c r="M663">
        <v>200</v>
      </c>
      <c r="N663">
        <v>0</v>
      </c>
      <c r="O663">
        <v>0</v>
      </c>
      <c r="P663">
        <v>1000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</row>
    <row r="664" spans="1:36" x14ac:dyDescent="0.25">
      <c r="A664">
        <v>20638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 t="s">
        <v>85</v>
      </c>
      <c r="K664">
        <v>0</v>
      </c>
      <c r="L664">
        <v>200</v>
      </c>
      <c r="M664">
        <v>200</v>
      </c>
      <c r="N664">
        <v>0</v>
      </c>
      <c r="O664">
        <v>0</v>
      </c>
      <c r="P664">
        <v>1000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</row>
    <row r="665" spans="1:36" x14ac:dyDescent="0.25">
      <c r="A665">
        <v>20639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 t="s">
        <v>85</v>
      </c>
      <c r="K665">
        <v>0</v>
      </c>
      <c r="L665">
        <v>200</v>
      </c>
      <c r="M665">
        <v>200</v>
      </c>
      <c r="N665">
        <v>0</v>
      </c>
      <c r="O665">
        <v>0</v>
      </c>
      <c r="P665">
        <v>1000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</row>
    <row r="666" spans="1:36" x14ac:dyDescent="0.25">
      <c r="A666">
        <v>20640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 t="s">
        <v>85</v>
      </c>
      <c r="K666">
        <v>0</v>
      </c>
      <c r="L666">
        <v>200</v>
      </c>
      <c r="M666">
        <v>200</v>
      </c>
      <c r="N666">
        <v>0</v>
      </c>
      <c r="O666">
        <v>0</v>
      </c>
      <c r="P666">
        <v>1000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</row>
    <row r="667" spans="1:36" x14ac:dyDescent="0.25">
      <c r="A667">
        <v>20158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 t="s">
        <v>85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200</v>
      </c>
      <c r="R667">
        <v>200</v>
      </c>
      <c r="S667">
        <v>200</v>
      </c>
      <c r="T667">
        <v>200</v>
      </c>
      <c r="U667">
        <v>200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</row>
    <row r="668" spans="1:36" x14ac:dyDescent="0.25">
      <c r="A668">
        <v>20159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 t="s">
        <v>85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200</v>
      </c>
      <c r="R668">
        <v>200</v>
      </c>
      <c r="S668">
        <v>200</v>
      </c>
      <c r="T668">
        <v>200</v>
      </c>
      <c r="U668">
        <v>200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</row>
    <row r="669" spans="1:36" x14ac:dyDescent="0.25">
      <c r="A669">
        <v>20160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 t="s">
        <v>85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200</v>
      </c>
      <c r="R669">
        <v>200</v>
      </c>
      <c r="S669">
        <v>200</v>
      </c>
      <c r="T669">
        <v>200</v>
      </c>
      <c r="U669">
        <v>200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</row>
    <row r="670" spans="1:36" x14ac:dyDescent="0.25">
      <c r="A670">
        <v>20161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 t="s">
        <v>85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200</v>
      </c>
      <c r="R670">
        <v>200</v>
      </c>
      <c r="S670">
        <v>200</v>
      </c>
      <c r="T670">
        <v>200</v>
      </c>
      <c r="U670">
        <v>200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</row>
    <row r="671" spans="1:36" x14ac:dyDescent="0.25">
      <c r="A671">
        <v>20162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 t="s">
        <v>85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200</v>
      </c>
      <c r="R671">
        <v>200</v>
      </c>
      <c r="S671">
        <v>200</v>
      </c>
      <c r="T671">
        <v>200</v>
      </c>
      <c r="U671">
        <v>200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</row>
    <row r="672" spans="1:36" x14ac:dyDescent="0.25">
      <c r="A672">
        <v>20163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 t="s">
        <v>85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200</v>
      </c>
      <c r="R672">
        <v>200</v>
      </c>
      <c r="S672">
        <v>200</v>
      </c>
      <c r="T672">
        <v>200</v>
      </c>
      <c r="U672">
        <v>200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</row>
    <row r="673" spans="1:36" x14ac:dyDescent="0.25">
      <c r="A673">
        <v>20164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 t="s">
        <v>85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600</v>
      </c>
      <c r="R673">
        <v>600</v>
      </c>
      <c r="S673">
        <v>600</v>
      </c>
      <c r="T673">
        <v>600</v>
      </c>
      <c r="U673">
        <v>600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</row>
    <row r="674" spans="1:36" x14ac:dyDescent="0.25">
      <c r="A674">
        <v>20165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 t="s">
        <v>85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200</v>
      </c>
      <c r="R674">
        <v>200</v>
      </c>
      <c r="S674">
        <v>200</v>
      </c>
      <c r="T674">
        <v>200</v>
      </c>
      <c r="U674">
        <v>200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</row>
    <row r="675" spans="1:36" x14ac:dyDescent="0.25">
      <c r="A675">
        <v>20166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 t="s">
        <v>85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900</v>
      </c>
      <c r="R675">
        <v>900</v>
      </c>
      <c r="S675">
        <v>900</v>
      </c>
      <c r="T675">
        <v>900</v>
      </c>
      <c r="U675">
        <v>900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</row>
    <row r="676" spans="1:36" x14ac:dyDescent="0.25">
      <c r="A676">
        <v>20167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 t="s">
        <v>85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200</v>
      </c>
      <c r="R676">
        <v>200</v>
      </c>
      <c r="S676">
        <v>200</v>
      </c>
      <c r="T676">
        <v>200</v>
      </c>
      <c r="U676">
        <v>200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</row>
    <row r="677" spans="1:36" x14ac:dyDescent="0.25">
      <c r="A677">
        <v>20168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 t="s">
        <v>85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900</v>
      </c>
      <c r="R677">
        <v>900</v>
      </c>
      <c r="S677">
        <v>900</v>
      </c>
      <c r="T677">
        <v>900</v>
      </c>
      <c r="U677">
        <v>900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</row>
    <row r="678" spans="1:36" x14ac:dyDescent="0.25">
      <c r="A678">
        <v>20169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 t="s">
        <v>85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200</v>
      </c>
      <c r="R678">
        <v>200</v>
      </c>
      <c r="S678">
        <v>200</v>
      </c>
      <c r="T678">
        <v>200</v>
      </c>
      <c r="U678">
        <v>200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</row>
    <row r="679" spans="1:36" x14ac:dyDescent="0.25">
      <c r="A679">
        <v>20170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 t="s">
        <v>85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600</v>
      </c>
      <c r="R679">
        <v>600</v>
      </c>
      <c r="S679">
        <v>600</v>
      </c>
      <c r="T679">
        <v>600</v>
      </c>
      <c r="U679">
        <v>600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</row>
    <row r="680" spans="1:36" x14ac:dyDescent="0.25">
      <c r="A680">
        <v>20171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 t="s">
        <v>85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200</v>
      </c>
      <c r="R680">
        <v>200</v>
      </c>
      <c r="S680">
        <v>200</v>
      </c>
      <c r="T680">
        <v>200</v>
      </c>
      <c r="U680">
        <v>200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</row>
    <row r="681" spans="1:36" x14ac:dyDescent="0.25">
      <c r="A681">
        <v>20172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 t="s">
        <v>85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200</v>
      </c>
      <c r="R681">
        <v>200</v>
      </c>
      <c r="S681">
        <v>200</v>
      </c>
      <c r="T681">
        <v>200</v>
      </c>
      <c r="U681">
        <v>200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</row>
    <row r="682" spans="1:36" x14ac:dyDescent="0.25">
      <c r="A682">
        <v>20173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 t="s">
        <v>85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200</v>
      </c>
      <c r="R682">
        <v>200</v>
      </c>
      <c r="S682">
        <v>200</v>
      </c>
      <c r="T682">
        <v>200</v>
      </c>
      <c r="U682">
        <v>200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</row>
    <row r="683" spans="1:36" x14ac:dyDescent="0.25">
      <c r="A683">
        <v>20174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 t="s">
        <v>85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200</v>
      </c>
      <c r="R683">
        <v>200</v>
      </c>
      <c r="S683">
        <v>200</v>
      </c>
      <c r="T683">
        <v>200</v>
      </c>
      <c r="U683">
        <v>200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</row>
    <row r="684" spans="1:36" x14ac:dyDescent="0.25">
      <c r="A684">
        <v>20175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 t="s">
        <v>85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200</v>
      </c>
      <c r="R684">
        <v>200</v>
      </c>
      <c r="S684">
        <v>200</v>
      </c>
      <c r="T684">
        <v>200</v>
      </c>
      <c r="U684">
        <v>200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</row>
    <row r="685" spans="1:36" x14ac:dyDescent="0.25">
      <c r="A685">
        <v>20176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 t="s">
        <v>85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200</v>
      </c>
      <c r="R685">
        <v>200</v>
      </c>
      <c r="S685">
        <v>200</v>
      </c>
      <c r="T685">
        <v>200</v>
      </c>
      <c r="U685">
        <v>200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</row>
    <row r="686" spans="1:36" x14ac:dyDescent="0.25">
      <c r="A686">
        <v>20177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 t="s">
        <v>85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200</v>
      </c>
      <c r="R686">
        <v>200</v>
      </c>
      <c r="S686">
        <v>200</v>
      </c>
      <c r="T686">
        <v>200</v>
      </c>
      <c r="U686">
        <v>200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</row>
    <row r="687" spans="1:36" x14ac:dyDescent="0.25">
      <c r="A687">
        <v>20178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 t="s">
        <v>85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200</v>
      </c>
      <c r="R687">
        <v>200</v>
      </c>
      <c r="S687">
        <v>200</v>
      </c>
      <c r="T687">
        <v>200</v>
      </c>
      <c r="U687">
        <v>200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</row>
    <row r="688" spans="1:36" x14ac:dyDescent="0.25">
      <c r="A688">
        <v>20179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 t="s">
        <v>85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200</v>
      </c>
      <c r="R688">
        <v>200</v>
      </c>
      <c r="S688">
        <v>200</v>
      </c>
      <c r="T688">
        <v>200</v>
      </c>
      <c r="U688">
        <v>200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</row>
    <row r="689" spans="1:36" x14ac:dyDescent="0.25">
      <c r="A689">
        <v>20180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 t="s">
        <v>85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200</v>
      </c>
      <c r="R689">
        <v>200</v>
      </c>
      <c r="S689">
        <v>200</v>
      </c>
      <c r="T689">
        <v>200</v>
      </c>
      <c r="U689">
        <v>200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</row>
    <row r="690" spans="1:36" x14ac:dyDescent="0.25">
      <c r="A690">
        <v>20181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 t="s">
        <v>85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200</v>
      </c>
      <c r="R690">
        <v>200</v>
      </c>
      <c r="S690">
        <v>200</v>
      </c>
      <c r="T690">
        <v>200</v>
      </c>
      <c r="U690">
        <v>200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</row>
    <row r="691" spans="1:36" x14ac:dyDescent="0.25">
      <c r="A691">
        <v>20182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 t="s">
        <v>85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200</v>
      </c>
      <c r="R691">
        <v>200</v>
      </c>
      <c r="S691">
        <v>200</v>
      </c>
      <c r="T691">
        <v>200</v>
      </c>
      <c r="U691">
        <v>200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</row>
    <row r="692" spans="1:36" x14ac:dyDescent="0.25">
      <c r="A692">
        <v>20183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 t="s">
        <v>85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200</v>
      </c>
      <c r="R692">
        <v>200</v>
      </c>
      <c r="S692">
        <v>200</v>
      </c>
      <c r="T692">
        <v>200</v>
      </c>
      <c r="U692">
        <v>200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</row>
    <row r="693" spans="1:36" x14ac:dyDescent="0.25">
      <c r="A693">
        <v>20184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 t="s">
        <v>85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200</v>
      </c>
      <c r="R693">
        <v>200</v>
      </c>
      <c r="S693">
        <v>200</v>
      </c>
      <c r="T693">
        <v>200</v>
      </c>
      <c r="U693">
        <v>200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</row>
    <row r="694" spans="1:36" x14ac:dyDescent="0.25">
      <c r="A694">
        <v>20185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 t="s">
        <v>85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200</v>
      </c>
      <c r="R694">
        <v>200</v>
      </c>
      <c r="S694">
        <v>200</v>
      </c>
      <c r="T694">
        <v>200</v>
      </c>
      <c r="U694">
        <v>200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</row>
    <row r="695" spans="1:36" x14ac:dyDescent="0.25">
      <c r="A695">
        <v>20186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 t="s">
        <v>85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200</v>
      </c>
      <c r="R695">
        <v>200</v>
      </c>
      <c r="S695">
        <v>200</v>
      </c>
      <c r="T695">
        <v>200</v>
      </c>
      <c r="U695">
        <v>200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</row>
    <row r="696" spans="1:36" x14ac:dyDescent="0.25">
      <c r="A696">
        <v>20187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 t="s">
        <v>85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200</v>
      </c>
      <c r="R696">
        <v>200</v>
      </c>
      <c r="S696">
        <v>200</v>
      </c>
      <c r="T696">
        <v>200</v>
      </c>
      <c r="U696">
        <v>200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</row>
    <row r="697" spans="1:36" x14ac:dyDescent="0.25">
      <c r="A697">
        <v>20188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 t="s">
        <v>85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200</v>
      </c>
      <c r="R697">
        <v>200</v>
      </c>
      <c r="S697">
        <v>200</v>
      </c>
      <c r="T697">
        <v>200</v>
      </c>
      <c r="U697">
        <v>200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</row>
    <row r="698" spans="1:36" x14ac:dyDescent="0.25">
      <c r="A698">
        <v>20189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 t="s">
        <v>85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200</v>
      </c>
      <c r="R698">
        <v>200</v>
      </c>
      <c r="S698">
        <v>200</v>
      </c>
      <c r="T698">
        <v>200</v>
      </c>
      <c r="U698">
        <v>200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</row>
    <row r="699" spans="1:36" x14ac:dyDescent="0.25">
      <c r="A699">
        <v>20190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 t="s">
        <v>85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200</v>
      </c>
      <c r="R699">
        <v>200</v>
      </c>
      <c r="S699">
        <v>200</v>
      </c>
      <c r="T699">
        <v>200</v>
      </c>
      <c r="U699">
        <v>200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</row>
    <row r="700" spans="1:36" x14ac:dyDescent="0.25">
      <c r="A700">
        <v>20191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 t="s">
        <v>85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200</v>
      </c>
      <c r="R700">
        <v>200</v>
      </c>
      <c r="S700">
        <v>200</v>
      </c>
      <c r="T700">
        <v>200</v>
      </c>
      <c r="U700">
        <v>200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</row>
    <row r="701" spans="1:36" x14ac:dyDescent="0.25">
      <c r="A701">
        <v>20192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 t="s">
        <v>85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200</v>
      </c>
      <c r="R701">
        <v>200</v>
      </c>
      <c r="S701">
        <v>200</v>
      </c>
      <c r="T701">
        <v>200</v>
      </c>
      <c r="U701">
        <v>200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</row>
    <row r="702" spans="1:36" x14ac:dyDescent="0.25">
      <c r="A702">
        <v>20193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 t="s">
        <v>85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200</v>
      </c>
      <c r="R702">
        <v>200</v>
      </c>
      <c r="S702">
        <v>200</v>
      </c>
      <c r="T702">
        <v>200</v>
      </c>
      <c r="U702">
        <v>200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</row>
    <row r="703" spans="1:36" x14ac:dyDescent="0.25">
      <c r="A703">
        <v>20194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 t="s">
        <v>85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200</v>
      </c>
      <c r="R703">
        <v>200</v>
      </c>
      <c r="S703">
        <v>200</v>
      </c>
      <c r="T703">
        <v>200</v>
      </c>
      <c r="U703">
        <v>200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</row>
    <row r="704" spans="1:36" x14ac:dyDescent="0.25">
      <c r="A704">
        <v>20195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 t="s">
        <v>85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200</v>
      </c>
      <c r="R704">
        <v>200</v>
      </c>
      <c r="S704">
        <v>200</v>
      </c>
      <c r="T704">
        <v>200</v>
      </c>
      <c r="U704">
        <v>200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</row>
    <row r="705" spans="1:36" x14ac:dyDescent="0.25">
      <c r="A705">
        <v>20196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 t="s">
        <v>85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200</v>
      </c>
      <c r="R705">
        <v>200</v>
      </c>
      <c r="S705">
        <v>200</v>
      </c>
      <c r="T705">
        <v>200</v>
      </c>
      <c r="U705">
        <v>200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</row>
    <row r="706" spans="1:36" x14ac:dyDescent="0.25">
      <c r="A706">
        <v>20197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 t="s">
        <v>85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200</v>
      </c>
      <c r="R706">
        <v>200</v>
      </c>
      <c r="S706">
        <v>200</v>
      </c>
      <c r="T706">
        <v>200</v>
      </c>
      <c r="U706">
        <v>200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</row>
    <row r="707" spans="1:36" x14ac:dyDescent="0.25">
      <c r="A707">
        <v>20198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 t="s">
        <v>85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200</v>
      </c>
      <c r="R707">
        <v>200</v>
      </c>
      <c r="S707">
        <v>200</v>
      </c>
      <c r="T707">
        <v>200</v>
      </c>
      <c r="U707">
        <v>200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</row>
    <row r="708" spans="1:36" x14ac:dyDescent="0.25">
      <c r="A708">
        <v>20199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 t="s">
        <v>85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200</v>
      </c>
      <c r="R708">
        <v>200</v>
      </c>
      <c r="S708">
        <v>200</v>
      </c>
      <c r="T708">
        <v>200</v>
      </c>
      <c r="U708">
        <v>200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</row>
    <row r="709" spans="1:36" x14ac:dyDescent="0.25">
      <c r="A709">
        <v>20200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 t="s">
        <v>85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200</v>
      </c>
      <c r="R709">
        <v>200</v>
      </c>
      <c r="S709">
        <v>200</v>
      </c>
      <c r="T709">
        <v>200</v>
      </c>
      <c r="U709">
        <v>200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</row>
    <row r="710" spans="1:36" x14ac:dyDescent="0.25">
      <c r="A710">
        <v>20201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 t="s">
        <v>85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200</v>
      </c>
      <c r="R710">
        <v>200</v>
      </c>
      <c r="S710">
        <v>200</v>
      </c>
      <c r="T710">
        <v>200</v>
      </c>
      <c r="U710">
        <v>200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</row>
    <row r="711" spans="1:36" x14ac:dyDescent="0.25">
      <c r="A711">
        <v>20202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 t="s">
        <v>85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200</v>
      </c>
      <c r="R711">
        <v>200</v>
      </c>
      <c r="S711">
        <v>200</v>
      </c>
      <c r="T711">
        <v>200</v>
      </c>
      <c r="U711">
        <v>200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</row>
    <row r="712" spans="1:36" x14ac:dyDescent="0.25">
      <c r="A712">
        <v>20203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 t="s">
        <v>85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200</v>
      </c>
      <c r="R712">
        <v>200</v>
      </c>
      <c r="S712">
        <v>200</v>
      </c>
      <c r="T712">
        <v>200</v>
      </c>
      <c r="U712">
        <v>200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</row>
    <row r="713" spans="1:36" x14ac:dyDescent="0.25">
      <c r="A713">
        <v>20204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 t="s">
        <v>85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300</v>
      </c>
      <c r="R713">
        <v>300</v>
      </c>
      <c r="S713">
        <v>300</v>
      </c>
      <c r="T713">
        <v>300</v>
      </c>
      <c r="U713">
        <v>300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</row>
    <row r="714" spans="1:36" x14ac:dyDescent="0.25">
      <c r="A714">
        <v>20205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 t="s">
        <v>85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300</v>
      </c>
      <c r="R714">
        <v>300</v>
      </c>
      <c r="S714">
        <v>300</v>
      </c>
      <c r="T714">
        <v>300</v>
      </c>
      <c r="U714">
        <v>300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</row>
    <row r="715" spans="1:36" x14ac:dyDescent="0.25">
      <c r="A715">
        <v>20206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 t="s">
        <v>85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200</v>
      </c>
      <c r="R715">
        <v>200</v>
      </c>
      <c r="S715">
        <v>200</v>
      </c>
      <c r="T715">
        <v>200</v>
      </c>
      <c r="U715">
        <v>200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</row>
    <row r="716" spans="1:36" x14ac:dyDescent="0.25">
      <c r="A716">
        <v>20207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 t="s">
        <v>85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200</v>
      </c>
      <c r="R716">
        <v>200</v>
      </c>
      <c r="S716">
        <v>200</v>
      </c>
      <c r="T716">
        <v>200</v>
      </c>
      <c r="U716">
        <v>200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</row>
    <row r="717" spans="1:36" x14ac:dyDescent="0.25">
      <c r="A717">
        <v>20208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 t="s">
        <v>85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200</v>
      </c>
      <c r="R717">
        <v>200</v>
      </c>
      <c r="S717">
        <v>200</v>
      </c>
      <c r="T717">
        <v>200</v>
      </c>
      <c r="U717">
        <v>200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</row>
    <row r="718" spans="1:36" x14ac:dyDescent="0.25">
      <c r="A718">
        <v>20209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 t="s">
        <v>85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200</v>
      </c>
      <c r="R718">
        <v>200</v>
      </c>
      <c r="S718">
        <v>200</v>
      </c>
      <c r="T718">
        <v>200</v>
      </c>
      <c r="U718">
        <v>200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</row>
    <row r="719" spans="1:36" x14ac:dyDescent="0.25">
      <c r="A719">
        <v>20210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 t="s">
        <v>85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200</v>
      </c>
      <c r="R719">
        <v>200</v>
      </c>
      <c r="S719">
        <v>200</v>
      </c>
      <c r="T719">
        <v>200</v>
      </c>
      <c r="U719">
        <v>200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</row>
    <row r="720" spans="1:36" x14ac:dyDescent="0.25">
      <c r="A720">
        <v>20211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 t="s">
        <v>85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200</v>
      </c>
      <c r="R720">
        <v>200</v>
      </c>
      <c r="S720">
        <v>200</v>
      </c>
      <c r="T720">
        <v>200</v>
      </c>
      <c r="U720">
        <v>200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</row>
    <row r="721" spans="1:36" x14ac:dyDescent="0.25">
      <c r="A721">
        <v>20212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 t="s">
        <v>85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500</v>
      </c>
      <c r="R721">
        <v>500</v>
      </c>
      <c r="S721">
        <v>500</v>
      </c>
      <c r="T721">
        <v>500</v>
      </c>
      <c r="U721">
        <v>500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</row>
    <row r="722" spans="1:36" x14ac:dyDescent="0.25">
      <c r="A722">
        <v>20213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 t="s">
        <v>85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200</v>
      </c>
      <c r="R722">
        <v>200</v>
      </c>
      <c r="S722">
        <v>200</v>
      </c>
      <c r="T722">
        <v>200</v>
      </c>
      <c r="U722">
        <v>200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</row>
    <row r="723" spans="1:36" x14ac:dyDescent="0.25">
      <c r="A723">
        <v>20214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 t="s">
        <v>85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500</v>
      </c>
      <c r="R723">
        <v>500</v>
      </c>
      <c r="S723">
        <v>500</v>
      </c>
      <c r="T723">
        <v>500</v>
      </c>
      <c r="U723">
        <v>500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</row>
    <row r="724" spans="1:36" x14ac:dyDescent="0.25">
      <c r="A724">
        <v>20215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 t="s">
        <v>85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200</v>
      </c>
      <c r="R724">
        <v>200</v>
      </c>
      <c r="S724">
        <v>200</v>
      </c>
      <c r="T724">
        <v>200</v>
      </c>
      <c r="U724">
        <v>200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</row>
    <row r="725" spans="1:36" x14ac:dyDescent="0.25">
      <c r="A725">
        <v>20216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 t="s">
        <v>85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500</v>
      </c>
      <c r="R725">
        <v>500</v>
      </c>
      <c r="S725">
        <v>500</v>
      </c>
      <c r="T725">
        <v>500</v>
      </c>
      <c r="U725">
        <v>500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</row>
    <row r="726" spans="1:36" x14ac:dyDescent="0.25">
      <c r="A726">
        <v>20217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 t="s">
        <v>85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200</v>
      </c>
      <c r="R726">
        <v>200</v>
      </c>
      <c r="S726">
        <v>200</v>
      </c>
      <c r="T726">
        <v>200</v>
      </c>
      <c r="U726">
        <v>200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</row>
    <row r="727" spans="1:36" x14ac:dyDescent="0.25">
      <c r="A727">
        <v>20218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 t="s">
        <v>85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200</v>
      </c>
      <c r="R727">
        <v>200</v>
      </c>
      <c r="S727">
        <v>200</v>
      </c>
      <c r="T727">
        <v>200</v>
      </c>
      <c r="U727">
        <v>200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</row>
    <row r="728" spans="1:36" x14ac:dyDescent="0.25">
      <c r="A728">
        <v>20219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 t="s">
        <v>85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200</v>
      </c>
      <c r="R728">
        <v>200</v>
      </c>
      <c r="S728">
        <v>200</v>
      </c>
      <c r="T728">
        <v>200</v>
      </c>
      <c r="U728">
        <v>200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</row>
    <row r="729" spans="1:36" x14ac:dyDescent="0.25">
      <c r="A729">
        <v>20220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 t="s">
        <v>85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500</v>
      </c>
      <c r="R729">
        <v>500</v>
      </c>
      <c r="S729">
        <v>500</v>
      </c>
      <c r="T729">
        <v>500</v>
      </c>
      <c r="U729">
        <v>500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</row>
    <row r="730" spans="1:36" x14ac:dyDescent="0.25">
      <c r="A730">
        <v>20221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 t="s">
        <v>85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500</v>
      </c>
      <c r="R730">
        <v>500</v>
      </c>
      <c r="S730">
        <v>500</v>
      </c>
      <c r="T730">
        <v>500</v>
      </c>
      <c r="U730">
        <v>500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</row>
    <row r="731" spans="1:36" x14ac:dyDescent="0.25">
      <c r="A731">
        <v>20222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 t="s">
        <v>85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500</v>
      </c>
      <c r="R731">
        <v>500</v>
      </c>
      <c r="S731">
        <v>500</v>
      </c>
      <c r="T731">
        <v>500</v>
      </c>
      <c r="U731">
        <v>500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</row>
    <row r="732" spans="1:36" x14ac:dyDescent="0.25">
      <c r="A732">
        <v>20223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 t="s">
        <v>85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500</v>
      </c>
      <c r="R732">
        <v>500</v>
      </c>
      <c r="S732">
        <v>500</v>
      </c>
      <c r="T732">
        <v>500</v>
      </c>
      <c r="U732">
        <v>500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</row>
    <row r="733" spans="1:36" x14ac:dyDescent="0.25">
      <c r="A733">
        <v>20224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 t="s">
        <v>85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500</v>
      </c>
      <c r="R733">
        <v>500</v>
      </c>
      <c r="S733">
        <v>500</v>
      </c>
      <c r="T733">
        <v>500</v>
      </c>
      <c r="U733">
        <v>500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</row>
    <row r="734" spans="1:36" x14ac:dyDescent="0.25">
      <c r="A734">
        <v>20225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 t="s">
        <v>85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200</v>
      </c>
      <c r="R734">
        <v>200</v>
      </c>
      <c r="S734">
        <v>200</v>
      </c>
      <c r="T734">
        <v>200</v>
      </c>
      <c r="U734">
        <v>200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</row>
    <row r="735" spans="1:36" x14ac:dyDescent="0.25">
      <c r="A735">
        <v>20226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 t="s">
        <v>85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200</v>
      </c>
      <c r="R735">
        <v>200</v>
      </c>
      <c r="S735">
        <v>200</v>
      </c>
      <c r="T735">
        <v>200</v>
      </c>
      <c r="U735">
        <v>200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</row>
    <row r="736" spans="1:36" x14ac:dyDescent="0.25">
      <c r="A736">
        <v>20227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 t="s">
        <v>85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500</v>
      </c>
      <c r="R736">
        <v>500</v>
      </c>
      <c r="S736">
        <v>500</v>
      </c>
      <c r="T736">
        <v>500</v>
      </c>
      <c r="U736">
        <v>500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</row>
    <row r="737" spans="1:36" x14ac:dyDescent="0.25">
      <c r="A737">
        <v>20228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 t="s">
        <v>85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500</v>
      </c>
      <c r="R737">
        <v>500</v>
      </c>
      <c r="S737">
        <v>500</v>
      </c>
      <c r="T737">
        <v>500</v>
      </c>
      <c r="U737">
        <v>500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</row>
    <row r="738" spans="1:36" x14ac:dyDescent="0.25">
      <c r="A738">
        <v>20229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 t="s">
        <v>85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200</v>
      </c>
      <c r="R738">
        <v>200</v>
      </c>
      <c r="S738">
        <v>200</v>
      </c>
      <c r="T738">
        <v>200</v>
      </c>
      <c r="U738">
        <v>200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</row>
    <row r="739" spans="1:36" x14ac:dyDescent="0.25">
      <c r="A739">
        <v>20230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 t="s">
        <v>85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500</v>
      </c>
      <c r="R739">
        <v>500</v>
      </c>
      <c r="S739">
        <v>500</v>
      </c>
      <c r="T739">
        <v>500</v>
      </c>
      <c r="U739">
        <v>500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</row>
    <row r="740" spans="1:36" x14ac:dyDescent="0.25">
      <c r="A740">
        <v>20231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 t="s">
        <v>85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200</v>
      </c>
      <c r="R740">
        <v>200</v>
      </c>
      <c r="S740">
        <v>200</v>
      </c>
      <c r="T740">
        <v>200</v>
      </c>
      <c r="U740">
        <v>200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</row>
    <row r="741" spans="1:36" x14ac:dyDescent="0.25">
      <c r="A741">
        <v>20232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 t="s">
        <v>85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500</v>
      </c>
      <c r="R741">
        <v>500</v>
      </c>
      <c r="S741">
        <v>500</v>
      </c>
      <c r="T741">
        <v>500</v>
      </c>
      <c r="U741">
        <v>500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</row>
    <row r="742" spans="1:36" x14ac:dyDescent="0.25">
      <c r="A742">
        <v>20233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 t="s">
        <v>85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200</v>
      </c>
      <c r="R742">
        <v>200</v>
      </c>
      <c r="S742">
        <v>200</v>
      </c>
      <c r="T742">
        <v>200</v>
      </c>
      <c r="U742">
        <v>200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</row>
    <row r="743" spans="1:36" x14ac:dyDescent="0.25">
      <c r="A743">
        <v>20234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 t="s">
        <v>85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200</v>
      </c>
      <c r="R743">
        <v>200</v>
      </c>
      <c r="S743">
        <v>200</v>
      </c>
      <c r="T743">
        <v>200</v>
      </c>
      <c r="U743">
        <v>200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</row>
    <row r="744" spans="1:36" x14ac:dyDescent="0.25">
      <c r="A744">
        <v>20235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 t="s">
        <v>85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200</v>
      </c>
      <c r="R744">
        <v>200</v>
      </c>
      <c r="S744">
        <v>200</v>
      </c>
      <c r="T744">
        <v>200</v>
      </c>
      <c r="U744">
        <v>200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</row>
    <row r="745" spans="1:36" x14ac:dyDescent="0.25">
      <c r="A745">
        <v>20236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 t="s">
        <v>85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500</v>
      </c>
      <c r="R745">
        <v>500</v>
      </c>
      <c r="S745">
        <v>500</v>
      </c>
      <c r="T745">
        <v>500</v>
      </c>
      <c r="U745">
        <v>500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</row>
    <row r="746" spans="1:36" x14ac:dyDescent="0.25">
      <c r="A746">
        <v>20237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 t="s">
        <v>85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500</v>
      </c>
      <c r="R746">
        <v>500</v>
      </c>
      <c r="S746">
        <v>500</v>
      </c>
      <c r="T746">
        <v>500</v>
      </c>
      <c r="U746">
        <v>500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</row>
    <row r="747" spans="1:36" x14ac:dyDescent="0.25">
      <c r="A747">
        <v>20238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 t="s">
        <v>85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500</v>
      </c>
      <c r="R747">
        <v>500</v>
      </c>
      <c r="S747">
        <v>500</v>
      </c>
      <c r="T747">
        <v>500</v>
      </c>
      <c r="U747">
        <v>500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</row>
    <row r="748" spans="1:36" x14ac:dyDescent="0.25">
      <c r="A748">
        <v>20239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 t="s">
        <v>85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500</v>
      </c>
      <c r="R748">
        <v>500</v>
      </c>
      <c r="S748">
        <v>500</v>
      </c>
      <c r="T748">
        <v>500</v>
      </c>
      <c r="U748">
        <v>500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</row>
    <row r="749" spans="1:36" x14ac:dyDescent="0.25">
      <c r="A749">
        <v>20240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 t="s">
        <v>85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500</v>
      </c>
      <c r="R749">
        <v>500</v>
      </c>
      <c r="S749">
        <v>500</v>
      </c>
      <c r="T749">
        <v>500</v>
      </c>
      <c r="U749">
        <v>500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</row>
    <row r="750" spans="1:36" x14ac:dyDescent="0.25">
      <c r="A750">
        <v>20241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 t="s">
        <v>85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200</v>
      </c>
      <c r="R750">
        <v>200</v>
      </c>
      <c r="S750">
        <v>200</v>
      </c>
      <c r="T750">
        <v>200</v>
      </c>
      <c r="U750">
        <v>200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</row>
    <row r="751" spans="1:36" x14ac:dyDescent="0.25">
      <c r="A751">
        <v>20242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 t="s">
        <v>85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200</v>
      </c>
      <c r="R751">
        <v>200</v>
      </c>
      <c r="S751">
        <v>200</v>
      </c>
      <c r="T751">
        <v>200</v>
      </c>
      <c r="U751">
        <v>200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</row>
    <row r="752" spans="1:36" x14ac:dyDescent="0.25">
      <c r="A752">
        <v>20243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 t="s">
        <v>85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500</v>
      </c>
      <c r="R752">
        <v>500</v>
      </c>
      <c r="S752">
        <v>500</v>
      </c>
      <c r="T752">
        <v>500</v>
      </c>
      <c r="U752">
        <v>500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</row>
    <row r="753" spans="1:36" x14ac:dyDescent="0.25">
      <c r="A753">
        <v>20244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 t="s">
        <v>85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1000</v>
      </c>
      <c r="R753">
        <v>1000</v>
      </c>
      <c r="S753">
        <v>1000</v>
      </c>
      <c r="T753">
        <v>1000</v>
      </c>
      <c r="U753">
        <v>1000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</row>
    <row r="754" spans="1:36" x14ac:dyDescent="0.25">
      <c r="A754">
        <v>20245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 t="s">
        <v>85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1000</v>
      </c>
      <c r="R754">
        <v>1000</v>
      </c>
      <c r="S754">
        <v>1000</v>
      </c>
      <c r="T754">
        <v>1000</v>
      </c>
      <c r="U754">
        <v>1000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</row>
    <row r="755" spans="1:36" x14ac:dyDescent="0.25">
      <c r="A755">
        <v>20246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 t="s">
        <v>85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1000</v>
      </c>
      <c r="R755">
        <v>1000</v>
      </c>
      <c r="S755">
        <v>1000</v>
      </c>
      <c r="T755">
        <v>1000</v>
      </c>
      <c r="U755">
        <v>1000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</row>
    <row r="756" spans="1:36" x14ac:dyDescent="0.25">
      <c r="A756">
        <v>20247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 t="s">
        <v>85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1000</v>
      </c>
      <c r="R756">
        <v>1000</v>
      </c>
      <c r="S756">
        <v>1000</v>
      </c>
      <c r="T756">
        <v>1000</v>
      </c>
      <c r="U756">
        <v>1000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</row>
    <row r="757" spans="1:36" x14ac:dyDescent="0.25">
      <c r="A757">
        <v>20248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 t="s">
        <v>85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1000</v>
      </c>
      <c r="R757">
        <v>1000</v>
      </c>
      <c r="S757">
        <v>1000</v>
      </c>
      <c r="T757">
        <v>1000</v>
      </c>
      <c r="U757">
        <v>1000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</row>
    <row r="758" spans="1:36" x14ac:dyDescent="0.25">
      <c r="A758">
        <v>20249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 t="s">
        <v>85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1000</v>
      </c>
      <c r="R758">
        <v>1000</v>
      </c>
      <c r="S758">
        <v>1000</v>
      </c>
      <c r="T758">
        <v>1000</v>
      </c>
      <c r="U758">
        <v>1000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</row>
    <row r="759" spans="1:36" x14ac:dyDescent="0.25">
      <c r="A759">
        <v>20250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 t="s">
        <v>85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1000</v>
      </c>
      <c r="R759">
        <v>1000</v>
      </c>
      <c r="S759">
        <v>1000</v>
      </c>
      <c r="T759">
        <v>1000</v>
      </c>
      <c r="U759">
        <v>1000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</row>
    <row r="760" spans="1:36" x14ac:dyDescent="0.25">
      <c r="A760">
        <v>20251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 t="s">
        <v>85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1000</v>
      </c>
      <c r="R760">
        <v>1000</v>
      </c>
      <c r="S760">
        <v>1000</v>
      </c>
      <c r="T760">
        <v>1000</v>
      </c>
      <c r="U760">
        <v>1000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</row>
    <row r="761" spans="1:36" x14ac:dyDescent="0.25">
      <c r="A761">
        <v>20252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 t="s">
        <v>85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1000</v>
      </c>
      <c r="R761">
        <v>1000</v>
      </c>
      <c r="S761">
        <v>1000</v>
      </c>
      <c r="T761">
        <v>1000</v>
      </c>
      <c r="U761">
        <v>1000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</row>
    <row r="762" spans="1:36" x14ac:dyDescent="0.25">
      <c r="A762">
        <v>20253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 t="s">
        <v>85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1000</v>
      </c>
      <c r="R762">
        <v>1000</v>
      </c>
      <c r="S762">
        <v>1000</v>
      </c>
      <c r="T762">
        <v>1000</v>
      </c>
      <c r="U762">
        <v>1000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</row>
    <row r="763" spans="1:36" x14ac:dyDescent="0.25">
      <c r="A763">
        <v>20254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 t="s">
        <v>85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1000</v>
      </c>
      <c r="R763">
        <v>1000</v>
      </c>
      <c r="S763">
        <v>1000</v>
      </c>
      <c r="T763">
        <v>1000</v>
      </c>
      <c r="U763">
        <v>1000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</row>
    <row r="764" spans="1:36" x14ac:dyDescent="0.25">
      <c r="A764">
        <v>20255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 t="s">
        <v>85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1000</v>
      </c>
      <c r="R764">
        <v>1000</v>
      </c>
      <c r="S764">
        <v>1000</v>
      </c>
      <c r="T764">
        <v>1000</v>
      </c>
      <c r="U764">
        <v>1000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</row>
    <row r="765" spans="1:36" x14ac:dyDescent="0.25">
      <c r="A765">
        <v>20256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 t="s">
        <v>85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1000</v>
      </c>
      <c r="R765">
        <v>1000</v>
      </c>
      <c r="S765">
        <v>1000</v>
      </c>
      <c r="T765">
        <v>1000</v>
      </c>
      <c r="U765">
        <v>1000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</row>
    <row r="766" spans="1:36" x14ac:dyDescent="0.25">
      <c r="A766">
        <v>20257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 t="s">
        <v>85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1000</v>
      </c>
      <c r="R766">
        <v>1000</v>
      </c>
      <c r="S766">
        <v>1000</v>
      </c>
      <c r="T766">
        <v>1000</v>
      </c>
      <c r="U766">
        <v>1000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</row>
    <row r="767" spans="1:36" x14ac:dyDescent="0.25">
      <c r="A767">
        <v>20258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 t="s">
        <v>85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1000</v>
      </c>
      <c r="R767">
        <v>1000</v>
      </c>
      <c r="S767">
        <v>1000</v>
      </c>
      <c r="T767">
        <v>1000</v>
      </c>
      <c r="U767">
        <v>1000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</row>
    <row r="768" spans="1:36" x14ac:dyDescent="0.25">
      <c r="A768">
        <v>20259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 t="s">
        <v>85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1000</v>
      </c>
      <c r="R768">
        <v>1000</v>
      </c>
      <c r="S768">
        <v>1000</v>
      </c>
      <c r="T768">
        <v>1000</v>
      </c>
      <c r="U768">
        <v>1000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</row>
    <row r="769" spans="1:36" x14ac:dyDescent="0.25">
      <c r="A769">
        <v>20260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 t="s">
        <v>85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1000</v>
      </c>
      <c r="R769">
        <v>1000</v>
      </c>
      <c r="S769">
        <v>1000</v>
      </c>
      <c r="T769">
        <v>1000</v>
      </c>
      <c r="U769">
        <v>1000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</row>
    <row r="770" spans="1:36" x14ac:dyDescent="0.25">
      <c r="A770">
        <v>20261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 t="s">
        <v>85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1000</v>
      </c>
      <c r="R770">
        <v>1000</v>
      </c>
      <c r="S770">
        <v>1000</v>
      </c>
      <c r="T770">
        <v>1000</v>
      </c>
      <c r="U770">
        <v>1000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</row>
    <row r="771" spans="1:36" x14ac:dyDescent="0.25">
      <c r="A771">
        <v>20262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 t="s">
        <v>85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1000</v>
      </c>
      <c r="R771">
        <v>1000</v>
      </c>
      <c r="S771">
        <v>1000</v>
      </c>
      <c r="T771">
        <v>1000</v>
      </c>
      <c r="U771">
        <v>1000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</row>
    <row r="772" spans="1:36" x14ac:dyDescent="0.25">
      <c r="A772">
        <v>20263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 t="s">
        <v>85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1000</v>
      </c>
      <c r="R772">
        <v>1000</v>
      </c>
      <c r="S772">
        <v>1000</v>
      </c>
      <c r="T772">
        <v>1000</v>
      </c>
      <c r="U772">
        <v>1000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</row>
    <row r="773" spans="1:36" x14ac:dyDescent="0.25">
      <c r="A773">
        <v>20264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 t="s">
        <v>85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1000</v>
      </c>
      <c r="R773">
        <v>1000</v>
      </c>
      <c r="S773">
        <v>1000</v>
      </c>
      <c r="T773">
        <v>1000</v>
      </c>
      <c r="U773">
        <v>1000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</row>
    <row r="774" spans="1:36" x14ac:dyDescent="0.25">
      <c r="A774">
        <v>20265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 t="s">
        <v>85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1000</v>
      </c>
      <c r="R774">
        <v>1000</v>
      </c>
      <c r="S774">
        <v>1000</v>
      </c>
      <c r="T774">
        <v>1000</v>
      </c>
      <c r="U774">
        <v>1000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</row>
    <row r="775" spans="1:36" x14ac:dyDescent="0.25">
      <c r="A775">
        <v>20266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 t="s">
        <v>85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1000</v>
      </c>
      <c r="R775">
        <v>1000</v>
      </c>
      <c r="S775">
        <v>1000</v>
      </c>
      <c r="T775">
        <v>1000</v>
      </c>
      <c r="U775">
        <v>1000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</row>
    <row r="776" spans="1:36" x14ac:dyDescent="0.25">
      <c r="A776">
        <v>20267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 t="s">
        <v>85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1000</v>
      </c>
      <c r="R776">
        <v>1000</v>
      </c>
      <c r="S776">
        <v>1000</v>
      </c>
      <c r="T776">
        <v>1000</v>
      </c>
      <c r="U776">
        <v>1000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</row>
    <row r="777" spans="1:36" x14ac:dyDescent="0.25">
      <c r="A777">
        <v>20268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 t="s">
        <v>85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200</v>
      </c>
      <c r="R777">
        <v>200</v>
      </c>
      <c r="S777">
        <v>200</v>
      </c>
      <c r="T777">
        <v>200</v>
      </c>
      <c r="U777">
        <v>200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</row>
    <row r="778" spans="1:36" x14ac:dyDescent="0.25">
      <c r="A778">
        <v>20269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 t="s">
        <v>85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200</v>
      </c>
      <c r="R778">
        <v>200</v>
      </c>
      <c r="S778">
        <v>200</v>
      </c>
      <c r="T778">
        <v>200</v>
      </c>
      <c r="U778">
        <v>200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</row>
    <row r="779" spans="1:36" x14ac:dyDescent="0.25">
      <c r="A779">
        <v>20270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 t="s">
        <v>85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200</v>
      </c>
      <c r="R779">
        <v>200</v>
      </c>
      <c r="S779">
        <v>200</v>
      </c>
      <c r="T779">
        <v>200</v>
      </c>
      <c r="U779">
        <v>200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</row>
    <row r="780" spans="1:36" x14ac:dyDescent="0.25">
      <c r="A780">
        <v>20271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 t="s">
        <v>85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200</v>
      </c>
      <c r="R780">
        <v>200</v>
      </c>
      <c r="S780">
        <v>200</v>
      </c>
      <c r="T780">
        <v>200</v>
      </c>
      <c r="U780">
        <v>200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</row>
    <row r="781" spans="1:36" x14ac:dyDescent="0.25">
      <c r="A781">
        <v>20272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 t="s">
        <v>85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200</v>
      </c>
      <c r="R781">
        <v>200</v>
      </c>
      <c r="S781">
        <v>200</v>
      </c>
      <c r="T781">
        <v>200</v>
      </c>
      <c r="U781">
        <v>200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</row>
    <row r="782" spans="1:36" x14ac:dyDescent="0.25">
      <c r="A782">
        <v>20273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 t="s">
        <v>85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200</v>
      </c>
      <c r="R782">
        <v>200</v>
      </c>
      <c r="S782">
        <v>200</v>
      </c>
      <c r="T782">
        <v>200</v>
      </c>
      <c r="U782">
        <v>200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</row>
    <row r="783" spans="1:36" x14ac:dyDescent="0.25">
      <c r="A783">
        <v>20274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 t="s">
        <v>85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200</v>
      </c>
      <c r="R783">
        <v>200</v>
      </c>
      <c r="S783">
        <v>200</v>
      </c>
      <c r="T783">
        <v>200</v>
      </c>
      <c r="U783">
        <v>200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</row>
    <row r="784" spans="1:36" x14ac:dyDescent="0.25">
      <c r="A784">
        <v>20275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 t="s">
        <v>85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200</v>
      </c>
      <c r="R784">
        <v>200</v>
      </c>
      <c r="S784">
        <v>200</v>
      </c>
      <c r="T784">
        <v>200</v>
      </c>
      <c r="U784">
        <v>200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</row>
    <row r="785" spans="1:36" x14ac:dyDescent="0.25">
      <c r="A785">
        <v>20276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 t="s">
        <v>85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200</v>
      </c>
      <c r="R785">
        <v>200</v>
      </c>
      <c r="S785">
        <v>200</v>
      </c>
      <c r="T785">
        <v>200</v>
      </c>
      <c r="U785">
        <v>200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</row>
    <row r="786" spans="1:36" x14ac:dyDescent="0.25">
      <c r="A786">
        <v>20277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 t="s">
        <v>85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200</v>
      </c>
      <c r="R786">
        <v>200</v>
      </c>
      <c r="S786">
        <v>200</v>
      </c>
      <c r="T786">
        <v>200</v>
      </c>
      <c r="U786">
        <v>200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</row>
    <row r="787" spans="1:36" x14ac:dyDescent="0.25">
      <c r="A787">
        <v>20278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 t="s">
        <v>85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200</v>
      </c>
      <c r="R787">
        <v>200</v>
      </c>
      <c r="S787">
        <v>200</v>
      </c>
      <c r="T787">
        <v>200</v>
      </c>
      <c r="U787">
        <v>200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</row>
    <row r="788" spans="1:36" x14ac:dyDescent="0.25">
      <c r="A788">
        <v>20279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 t="s">
        <v>85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200</v>
      </c>
      <c r="R788">
        <v>200</v>
      </c>
      <c r="S788">
        <v>200</v>
      </c>
      <c r="T788">
        <v>200</v>
      </c>
      <c r="U788">
        <v>200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</row>
    <row r="789" spans="1:36" x14ac:dyDescent="0.25">
      <c r="A789">
        <v>20280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 t="s">
        <v>85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200</v>
      </c>
      <c r="R789">
        <v>200</v>
      </c>
      <c r="S789">
        <v>200</v>
      </c>
      <c r="T789">
        <v>200</v>
      </c>
      <c r="U789">
        <v>200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</row>
    <row r="790" spans="1:36" x14ac:dyDescent="0.25">
      <c r="A790">
        <v>20281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 t="s">
        <v>85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200</v>
      </c>
      <c r="R790">
        <v>200</v>
      </c>
      <c r="S790">
        <v>200</v>
      </c>
      <c r="T790">
        <v>200</v>
      </c>
      <c r="U790">
        <v>200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</row>
    <row r="791" spans="1:36" x14ac:dyDescent="0.25">
      <c r="A791">
        <v>20282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 t="s">
        <v>85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200</v>
      </c>
      <c r="R791">
        <v>200</v>
      </c>
      <c r="S791">
        <v>200</v>
      </c>
      <c r="T791">
        <v>200</v>
      </c>
      <c r="U791">
        <v>200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</row>
    <row r="792" spans="1:36" x14ac:dyDescent="0.25">
      <c r="A792">
        <v>20283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 t="s">
        <v>85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200</v>
      </c>
      <c r="R792">
        <v>200</v>
      </c>
      <c r="S792">
        <v>200</v>
      </c>
      <c r="T792">
        <v>200</v>
      </c>
      <c r="U792">
        <v>200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</row>
    <row r="793" spans="1:36" x14ac:dyDescent="0.25">
      <c r="A793">
        <v>20284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 t="s">
        <v>85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200</v>
      </c>
      <c r="R793">
        <v>200</v>
      </c>
      <c r="S793">
        <v>200</v>
      </c>
      <c r="T793">
        <v>200</v>
      </c>
      <c r="U793">
        <v>200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</row>
    <row r="794" spans="1:36" x14ac:dyDescent="0.25">
      <c r="A794">
        <v>20285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 t="s">
        <v>85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200</v>
      </c>
      <c r="R794">
        <v>200</v>
      </c>
      <c r="S794">
        <v>200</v>
      </c>
      <c r="T794">
        <v>200</v>
      </c>
      <c r="U794">
        <v>200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</row>
    <row r="795" spans="1:36" x14ac:dyDescent="0.25">
      <c r="A795">
        <v>20286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 t="s">
        <v>85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200</v>
      </c>
      <c r="R795">
        <v>200</v>
      </c>
      <c r="S795">
        <v>200</v>
      </c>
      <c r="T795">
        <v>200</v>
      </c>
      <c r="U795">
        <v>200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</row>
    <row r="796" spans="1:36" x14ac:dyDescent="0.25">
      <c r="A796">
        <v>20287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 t="s">
        <v>85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200</v>
      </c>
      <c r="R796">
        <v>200</v>
      </c>
      <c r="S796">
        <v>200</v>
      </c>
      <c r="T796">
        <v>200</v>
      </c>
      <c r="U796">
        <v>200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</row>
    <row r="797" spans="1:36" x14ac:dyDescent="0.25">
      <c r="A797">
        <v>20288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 t="s">
        <v>85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200</v>
      </c>
      <c r="R797">
        <v>200</v>
      </c>
      <c r="S797">
        <v>200</v>
      </c>
      <c r="T797">
        <v>200</v>
      </c>
      <c r="U797">
        <v>200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</row>
    <row r="798" spans="1:36" x14ac:dyDescent="0.25">
      <c r="A798">
        <v>20289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 t="s">
        <v>85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200</v>
      </c>
      <c r="R798">
        <v>200</v>
      </c>
      <c r="S798">
        <v>200</v>
      </c>
      <c r="T798">
        <v>200</v>
      </c>
      <c r="U798">
        <v>200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</row>
    <row r="799" spans="1:36" x14ac:dyDescent="0.25">
      <c r="A799">
        <v>20296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 t="s">
        <v>85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200</v>
      </c>
      <c r="R799">
        <v>200</v>
      </c>
      <c r="S799">
        <v>200</v>
      </c>
      <c r="T799">
        <v>200</v>
      </c>
      <c r="U799">
        <v>200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</row>
    <row r="800" spans="1:36" x14ac:dyDescent="0.25">
      <c r="A800">
        <v>20297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 t="s">
        <v>85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200</v>
      </c>
      <c r="R800">
        <v>200</v>
      </c>
      <c r="S800">
        <v>200</v>
      </c>
      <c r="T800">
        <v>200</v>
      </c>
      <c r="U800">
        <v>200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</row>
    <row r="801" spans="1:36" x14ac:dyDescent="0.25">
      <c r="A801">
        <v>20298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 t="s">
        <v>85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200</v>
      </c>
      <c r="R801">
        <v>200</v>
      </c>
      <c r="S801">
        <v>200</v>
      </c>
      <c r="T801">
        <v>200</v>
      </c>
      <c r="U801">
        <v>200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</row>
    <row r="802" spans="1:36" x14ac:dyDescent="0.25">
      <c r="A802">
        <v>20299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 t="s">
        <v>85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200</v>
      </c>
      <c r="R802">
        <v>200</v>
      </c>
      <c r="S802">
        <v>200</v>
      </c>
      <c r="T802">
        <v>200</v>
      </c>
      <c r="U802">
        <v>200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</row>
    <row r="803" spans="1:36" s="3" customFormat="1" x14ac:dyDescent="0.25">
      <c r="A803" s="3">
        <v>51001</v>
      </c>
      <c r="B803" s="3">
        <v>0</v>
      </c>
      <c r="C803" s="3">
        <v>0</v>
      </c>
      <c r="D803" s="3">
        <v>0</v>
      </c>
      <c r="E803" s="3">
        <v>0</v>
      </c>
      <c r="F803" s="3">
        <v>0</v>
      </c>
      <c r="G803" s="3">
        <v>0</v>
      </c>
      <c r="H803" s="3">
        <v>0</v>
      </c>
      <c r="I803" s="3">
        <v>0</v>
      </c>
      <c r="J803" s="3" t="s">
        <v>85</v>
      </c>
      <c r="K803" s="3">
        <v>0</v>
      </c>
      <c r="L803" s="3">
        <v>0</v>
      </c>
      <c r="M803" s="3">
        <v>0</v>
      </c>
      <c r="N803" s="3">
        <v>32</v>
      </c>
      <c r="O803" s="3">
        <v>0</v>
      </c>
      <c r="P803" s="3">
        <v>0</v>
      </c>
      <c r="Q803" s="3">
        <v>0</v>
      </c>
      <c r="R803" s="3">
        <v>0</v>
      </c>
      <c r="S803" s="3">
        <v>0</v>
      </c>
      <c r="T803" s="3">
        <v>0</v>
      </c>
      <c r="U803" s="3">
        <v>0</v>
      </c>
      <c r="V803" s="3">
        <v>0</v>
      </c>
      <c r="W803" s="3">
        <v>0</v>
      </c>
      <c r="X803" s="3">
        <v>0</v>
      </c>
      <c r="Y803" s="3">
        <v>0</v>
      </c>
      <c r="Z803" s="3">
        <v>0</v>
      </c>
      <c r="AA803" s="3">
        <v>0</v>
      </c>
      <c r="AB803" s="3">
        <v>0</v>
      </c>
      <c r="AC803" s="3">
        <v>0</v>
      </c>
      <c r="AD803" s="3">
        <v>0</v>
      </c>
      <c r="AE803" s="3">
        <v>0</v>
      </c>
      <c r="AF803" s="3">
        <v>0</v>
      </c>
      <c r="AG803" s="3">
        <v>0</v>
      </c>
      <c r="AH803" s="3">
        <v>0</v>
      </c>
      <c r="AI803" s="3">
        <v>0</v>
      </c>
      <c r="AJ803" s="3">
        <v>0</v>
      </c>
    </row>
    <row r="804" spans="1:36" x14ac:dyDescent="0.25">
      <c r="A804">
        <v>51002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 t="s">
        <v>85</v>
      </c>
      <c r="K804">
        <v>0</v>
      </c>
      <c r="L804">
        <v>0</v>
      </c>
      <c r="M804">
        <v>0</v>
      </c>
      <c r="N804">
        <v>0</v>
      </c>
      <c r="O804">
        <v>32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</row>
    <row r="805" spans="1:36" x14ac:dyDescent="0.25">
      <c r="A805">
        <v>51003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 t="s">
        <v>85</v>
      </c>
      <c r="K805">
        <v>0</v>
      </c>
      <c r="L805">
        <v>0</v>
      </c>
      <c r="M805">
        <v>0</v>
      </c>
      <c r="N805">
        <v>32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</row>
    <row r="806" spans="1:36" x14ac:dyDescent="0.25">
      <c r="A806">
        <v>51004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 t="s">
        <v>85</v>
      </c>
      <c r="K806">
        <v>0</v>
      </c>
      <c r="L806">
        <v>0</v>
      </c>
      <c r="M806">
        <v>0</v>
      </c>
      <c r="N806">
        <v>0</v>
      </c>
      <c r="O806">
        <v>32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</row>
    <row r="807" spans="1:36" x14ac:dyDescent="0.25">
      <c r="A807">
        <v>51005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 t="s">
        <v>85</v>
      </c>
      <c r="K807">
        <v>0</v>
      </c>
      <c r="L807">
        <v>40</v>
      </c>
      <c r="M807">
        <v>40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</row>
    <row r="808" spans="1:36" x14ac:dyDescent="0.25">
      <c r="A808">
        <v>51006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 t="s">
        <v>85</v>
      </c>
      <c r="K808">
        <v>0</v>
      </c>
      <c r="L808">
        <v>40</v>
      </c>
      <c r="M808">
        <v>40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</row>
    <row r="809" spans="1:36" x14ac:dyDescent="0.25">
      <c r="A809">
        <v>51007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 t="s">
        <v>85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350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</row>
    <row r="810" spans="1:36" x14ac:dyDescent="0.25">
      <c r="A810">
        <v>22059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 t="s">
        <v>85</v>
      </c>
      <c r="K810">
        <v>0</v>
      </c>
      <c r="L810">
        <v>175</v>
      </c>
      <c r="M810">
        <v>175</v>
      </c>
      <c r="N810">
        <v>175</v>
      </c>
      <c r="O810">
        <v>175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</row>
    <row r="811" spans="1:36" x14ac:dyDescent="0.25">
      <c r="A811">
        <v>22060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 t="s">
        <v>85</v>
      </c>
      <c r="K811">
        <v>0</v>
      </c>
      <c r="L811">
        <v>225</v>
      </c>
      <c r="M811">
        <v>225</v>
      </c>
      <c r="N811">
        <v>225</v>
      </c>
      <c r="O811">
        <v>225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</row>
    <row r="812" spans="1:36" x14ac:dyDescent="0.25">
      <c r="A812">
        <v>51051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 t="s">
        <v>85</v>
      </c>
      <c r="K812">
        <v>0</v>
      </c>
      <c r="L812">
        <v>0</v>
      </c>
      <c r="M812">
        <v>0</v>
      </c>
      <c r="N812">
        <v>48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</row>
    <row r="813" spans="1:36" x14ac:dyDescent="0.25">
      <c r="A813">
        <v>51052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 t="s">
        <v>85</v>
      </c>
      <c r="K813">
        <v>0</v>
      </c>
      <c r="L813">
        <v>0</v>
      </c>
      <c r="M813">
        <v>0</v>
      </c>
      <c r="N813">
        <v>0</v>
      </c>
      <c r="O813">
        <v>48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</row>
    <row r="814" spans="1:36" x14ac:dyDescent="0.25">
      <c r="A814">
        <v>51053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 t="s">
        <v>85</v>
      </c>
      <c r="K814">
        <v>0</v>
      </c>
      <c r="L814">
        <v>0</v>
      </c>
      <c r="M814">
        <v>0</v>
      </c>
      <c r="N814">
        <v>48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</row>
    <row r="815" spans="1:36" x14ac:dyDescent="0.25">
      <c r="A815">
        <v>51054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 t="s">
        <v>85</v>
      </c>
      <c r="K815">
        <v>0</v>
      </c>
      <c r="L815">
        <v>0</v>
      </c>
      <c r="M815">
        <v>0</v>
      </c>
      <c r="N815">
        <v>0</v>
      </c>
      <c r="O815">
        <v>48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</row>
    <row r="816" spans="1:36" x14ac:dyDescent="0.25">
      <c r="A816">
        <v>51055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 t="s">
        <v>85</v>
      </c>
      <c r="K816">
        <v>0</v>
      </c>
      <c r="L816">
        <v>60</v>
      </c>
      <c r="M816">
        <v>60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</row>
    <row r="817" spans="1:36" x14ac:dyDescent="0.25">
      <c r="A817">
        <v>51056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 t="s">
        <v>85</v>
      </c>
      <c r="K817">
        <v>0</v>
      </c>
      <c r="L817">
        <v>60</v>
      </c>
      <c r="M817">
        <v>60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</row>
    <row r="818" spans="1:36" x14ac:dyDescent="0.25">
      <c r="A818">
        <v>51057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 t="s">
        <v>85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520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</row>
    <row r="819" spans="1:36" x14ac:dyDescent="0.25">
      <c r="A819">
        <v>51061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 t="s">
        <v>85</v>
      </c>
      <c r="K819">
        <v>0</v>
      </c>
      <c r="L819">
        <v>0</v>
      </c>
      <c r="M819">
        <v>0</v>
      </c>
      <c r="N819">
        <v>52</v>
      </c>
      <c r="O819">
        <v>0</v>
      </c>
      <c r="P819">
        <v>0</v>
      </c>
      <c r="Q819">
        <v>0</v>
      </c>
      <c r="R819">
        <v>0</v>
      </c>
      <c r="S819">
        <v>150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</row>
    <row r="820" spans="1:36" x14ac:dyDescent="0.25">
      <c r="A820">
        <v>51062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 t="s">
        <v>85</v>
      </c>
      <c r="K820">
        <v>0</v>
      </c>
      <c r="L820">
        <v>0</v>
      </c>
      <c r="M820">
        <v>0</v>
      </c>
      <c r="N820">
        <v>0</v>
      </c>
      <c r="O820">
        <v>52</v>
      </c>
      <c r="P820">
        <v>0</v>
      </c>
      <c r="Q820">
        <v>0</v>
      </c>
      <c r="R820">
        <v>0</v>
      </c>
      <c r="S820">
        <v>0</v>
      </c>
      <c r="T820">
        <v>150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</row>
    <row r="821" spans="1:36" x14ac:dyDescent="0.25">
      <c r="A821">
        <v>51063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 t="s">
        <v>85</v>
      </c>
      <c r="K821">
        <v>0</v>
      </c>
      <c r="L821">
        <v>0</v>
      </c>
      <c r="M821">
        <v>0</v>
      </c>
      <c r="N821">
        <v>52</v>
      </c>
      <c r="O821">
        <v>0</v>
      </c>
      <c r="P821">
        <v>0</v>
      </c>
      <c r="Q821">
        <v>0</v>
      </c>
      <c r="R821">
        <v>0</v>
      </c>
      <c r="S821">
        <v>150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</row>
    <row r="822" spans="1:36" x14ac:dyDescent="0.25">
      <c r="A822">
        <v>51064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 t="s">
        <v>85</v>
      </c>
      <c r="K822">
        <v>0</v>
      </c>
      <c r="L822">
        <v>0</v>
      </c>
      <c r="M822">
        <v>0</v>
      </c>
      <c r="N822">
        <v>0</v>
      </c>
      <c r="O822">
        <v>52</v>
      </c>
      <c r="P822">
        <v>0</v>
      </c>
      <c r="Q822">
        <v>0</v>
      </c>
      <c r="R822">
        <v>0</v>
      </c>
      <c r="S822">
        <v>0</v>
      </c>
      <c r="T822">
        <v>150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</row>
    <row r="823" spans="1:36" x14ac:dyDescent="0.25">
      <c r="A823">
        <v>51065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 t="s">
        <v>85</v>
      </c>
      <c r="K823">
        <v>0</v>
      </c>
      <c r="L823">
        <v>64</v>
      </c>
      <c r="M823">
        <v>64</v>
      </c>
      <c r="N823">
        <v>0</v>
      </c>
      <c r="O823">
        <v>0</v>
      </c>
      <c r="P823">
        <v>0</v>
      </c>
      <c r="Q823">
        <v>150</v>
      </c>
      <c r="R823">
        <v>150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</row>
    <row r="824" spans="1:36" x14ac:dyDescent="0.25">
      <c r="A824">
        <v>51066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 t="s">
        <v>85</v>
      </c>
      <c r="K824">
        <v>0</v>
      </c>
      <c r="L824">
        <v>64</v>
      </c>
      <c r="M824">
        <v>64</v>
      </c>
      <c r="N824">
        <v>0</v>
      </c>
      <c r="O824">
        <v>0</v>
      </c>
      <c r="P824">
        <v>0</v>
      </c>
      <c r="Q824">
        <v>150</v>
      </c>
      <c r="R824">
        <v>150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</row>
    <row r="825" spans="1:36" x14ac:dyDescent="0.25">
      <c r="A825">
        <v>51067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 t="s">
        <v>85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570</v>
      </c>
      <c r="Q825">
        <v>0</v>
      </c>
      <c r="R825">
        <v>0</v>
      </c>
      <c r="S825">
        <v>0</v>
      </c>
      <c r="T825">
        <v>0</v>
      </c>
      <c r="U825">
        <v>150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</row>
    <row r="826" spans="1:36" x14ac:dyDescent="0.25">
      <c r="A826">
        <v>51071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 t="s">
        <v>85</v>
      </c>
      <c r="K826">
        <v>0</v>
      </c>
      <c r="L826">
        <v>0</v>
      </c>
      <c r="M826">
        <v>0</v>
      </c>
      <c r="N826">
        <v>80</v>
      </c>
      <c r="O826">
        <v>0</v>
      </c>
      <c r="P826">
        <v>0</v>
      </c>
      <c r="Q826">
        <v>0</v>
      </c>
      <c r="R826">
        <v>0</v>
      </c>
      <c r="S826">
        <v>150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</row>
    <row r="827" spans="1:36" x14ac:dyDescent="0.25">
      <c r="A827">
        <v>51072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 t="s">
        <v>85</v>
      </c>
      <c r="K827">
        <v>0</v>
      </c>
      <c r="L827">
        <v>0</v>
      </c>
      <c r="M827">
        <v>0</v>
      </c>
      <c r="N827">
        <v>0</v>
      </c>
      <c r="O827">
        <v>80</v>
      </c>
      <c r="P827">
        <v>0</v>
      </c>
      <c r="Q827">
        <v>0</v>
      </c>
      <c r="R827">
        <v>0</v>
      </c>
      <c r="S827">
        <v>0</v>
      </c>
      <c r="T827">
        <v>150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</row>
    <row r="828" spans="1:36" x14ac:dyDescent="0.25">
      <c r="A828">
        <v>51073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 t="s">
        <v>85</v>
      </c>
      <c r="K828">
        <v>0</v>
      </c>
      <c r="L828">
        <v>0</v>
      </c>
      <c r="M828">
        <v>0</v>
      </c>
      <c r="N828">
        <v>80</v>
      </c>
      <c r="O828">
        <v>0</v>
      </c>
      <c r="P828">
        <v>0</v>
      </c>
      <c r="Q828">
        <v>0</v>
      </c>
      <c r="R828">
        <v>0</v>
      </c>
      <c r="S828">
        <v>150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</row>
    <row r="829" spans="1:36" x14ac:dyDescent="0.25">
      <c r="A829">
        <v>51074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 t="s">
        <v>85</v>
      </c>
      <c r="K829">
        <v>0</v>
      </c>
      <c r="L829">
        <v>0</v>
      </c>
      <c r="M829">
        <v>0</v>
      </c>
      <c r="N829">
        <v>0</v>
      </c>
      <c r="O829">
        <v>80</v>
      </c>
      <c r="P829">
        <v>0</v>
      </c>
      <c r="Q829">
        <v>0</v>
      </c>
      <c r="R829">
        <v>0</v>
      </c>
      <c r="S829">
        <v>0</v>
      </c>
      <c r="T829">
        <v>150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</row>
    <row r="830" spans="1:36" x14ac:dyDescent="0.25">
      <c r="A830">
        <v>51075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 t="s">
        <v>85</v>
      </c>
      <c r="K830">
        <v>0</v>
      </c>
      <c r="L830">
        <v>100</v>
      </c>
      <c r="M830">
        <v>100</v>
      </c>
      <c r="N830">
        <v>0</v>
      </c>
      <c r="O830">
        <v>0</v>
      </c>
      <c r="P830">
        <v>0</v>
      </c>
      <c r="Q830">
        <v>150</v>
      </c>
      <c r="R830">
        <v>150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</row>
    <row r="831" spans="1:36" x14ac:dyDescent="0.25">
      <c r="A831">
        <v>51076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 t="s">
        <v>85</v>
      </c>
      <c r="K831">
        <v>0</v>
      </c>
      <c r="L831">
        <v>100</v>
      </c>
      <c r="M831">
        <v>100</v>
      </c>
      <c r="N831">
        <v>0</v>
      </c>
      <c r="O831">
        <v>0</v>
      </c>
      <c r="P831">
        <v>0</v>
      </c>
      <c r="Q831">
        <v>150</v>
      </c>
      <c r="R831">
        <v>150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</row>
    <row r="832" spans="1:36" x14ac:dyDescent="0.25">
      <c r="A832">
        <v>51077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 t="s">
        <v>85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880</v>
      </c>
      <c r="Q832">
        <v>0</v>
      </c>
      <c r="R832">
        <v>0</v>
      </c>
      <c r="S832">
        <v>0</v>
      </c>
      <c r="T832">
        <v>0</v>
      </c>
      <c r="U832">
        <v>150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</row>
    <row r="833" spans="1:36" x14ac:dyDescent="0.25">
      <c r="A833">
        <v>27351</v>
      </c>
      <c r="B833">
        <v>0</v>
      </c>
      <c r="C833">
        <v>50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 t="s">
        <v>85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2</v>
      </c>
      <c r="AF833">
        <v>0</v>
      </c>
      <c r="AG833">
        <v>0</v>
      </c>
      <c r="AH833">
        <v>0</v>
      </c>
      <c r="AI833">
        <v>0</v>
      </c>
      <c r="AJ833">
        <v>0</v>
      </c>
    </row>
    <row r="834" spans="1:36" x14ac:dyDescent="0.25">
      <c r="A834">
        <v>27352</v>
      </c>
      <c r="B834">
        <v>0</v>
      </c>
      <c r="C834">
        <v>100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 t="s">
        <v>85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3</v>
      </c>
      <c r="AF834">
        <v>0</v>
      </c>
      <c r="AG834">
        <v>0</v>
      </c>
      <c r="AH834">
        <v>0</v>
      </c>
      <c r="AI834">
        <v>0</v>
      </c>
      <c r="AJ834">
        <v>0</v>
      </c>
    </row>
    <row r="835" spans="1:36" x14ac:dyDescent="0.25">
      <c r="A835">
        <v>27353</v>
      </c>
      <c r="B835">
        <v>0</v>
      </c>
      <c r="C835">
        <v>150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 t="s">
        <v>85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5</v>
      </c>
      <c r="AF835">
        <v>0</v>
      </c>
      <c r="AG835">
        <v>0</v>
      </c>
      <c r="AH835">
        <v>0</v>
      </c>
      <c r="AI835">
        <v>0</v>
      </c>
      <c r="AJ835">
        <v>0</v>
      </c>
    </row>
    <row r="836" spans="1:36" x14ac:dyDescent="0.25">
      <c r="A836">
        <v>27354</v>
      </c>
      <c r="B836">
        <v>0</v>
      </c>
      <c r="C836">
        <v>300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 t="s">
        <v>85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7</v>
      </c>
      <c r="AF836">
        <v>0</v>
      </c>
      <c r="AG836">
        <v>0</v>
      </c>
      <c r="AH836">
        <v>0</v>
      </c>
      <c r="AI836">
        <v>0</v>
      </c>
      <c r="AJ836">
        <v>0</v>
      </c>
    </row>
    <row r="837" spans="1:36" x14ac:dyDescent="0.25">
      <c r="A837">
        <v>27361</v>
      </c>
      <c r="B837">
        <v>0</v>
      </c>
      <c r="C837">
        <v>50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 t="s">
        <v>85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2</v>
      </c>
      <c r="AG837">
        <v>0</v>
      </c>
      <c r="AH837">
        <v>0</v>
      </c>
      <c r="AI837">
        <v>0</v>
      </c>
      <c r="AJ837">
        <v>0</v>
      </c>
    </row>
    <row r="838" spans="1:36" x14ac:dyDescent="0.25">
      <c r="A838">
        <v>27362</v>
      </c>
      <c r="B838">
        <v>0</v>
      </c>
      <c r="C838">
        <v>100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 t="s">
        <v>85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3</v>
      </c>
      <c r="AG838">
        <v>0</v>
      </c>
      <c r="AH838">
        <v>0</v>
      </c>
      <c r="AI838">
        <v>0</v>
      </c>
      <c r="AJ838">
        <v>0</v>
      </c>
    </row>
    <row r="839" spans="1:36" x14ac:dyDescent="0.25">
      <c r="A839">
        <v>27363</v>
      </c>
      <c r="B839">
        <v>0</v>
      </c>
      <c r="C839">
        <v>150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 t="s">
        <v>85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5</v>
      </c>
      <c r="AG839">
        <v>0</v>
      </c>
      <c r="AH839">
        <v>0</v>
      </c>
      <c r="AI839">
        <v>0</v>
      </c>
      <c r="AJ839">
        <v>0</v>
      </c>
    </row>
    <row r="840" spans="1:36" x14ac:dyDescent="0.25">
      <c r="A840">
        <v>27364</v>
      </c>
      <c r="B840">
        <v>0</v>
      </c>
      <c r="C840">
        <v>300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 t="s">
        <v>85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7</v>
      </c>
      <c r="AG840">
        <v>0</v>
      </c>
      <c r="AH840">
        <v>0</v>
      </c>
      <c r="AI840">
        <v>0</v>
      </c>
      <c r="AJ840">
        <v>0</v>
      </c>
    </row>
    <row r="841" spans="1:36" x14ac:dyDescent="0.25">
      <c r="A841">
        <v>27371</v>
      </c>
      <c r="B841">
        <v>0</v>
      </c>
      <c r="C841">
        <v>50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 t="s">
        <v>85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2</v>
      </c>
      <c r="AH841">
        <v>0</v>
      </c>
      <c r="AI841">
        <v>0</v>
      </c>
      <c r="AJ841">
        <v>0</v>
      </c>
    </row>
    <row r="842" spans="1:36" x14ac:dyDescent="0.25">
      <c r="A842">
        <v>27372</v>
      </c>
      <c r="B842">
        <v>0</v>
      </c>
      <c r="C842">
        <v>100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 t="s">
        <v>85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3</v>
      </c>
      <c r="AH842">
        <v>0</v>
      </c>
      <c r="AI842">
        <v>0</v>
      </c>
      <c r="AJ842">
        <v>0</v>
      </c>
    </row>
    <row r="843" spans="1:36" x14ac:dyDescent="0.25">
      <c r="A843">
        <v>27373</v>
      </c>
      <c r="B843">
        <v>0</v>
      </c>
      <c r="C843">
        <v>150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 t="s">
        <v>85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5</v>
      </c>
      <c r="AH843">
        <v>0</v>
      </c>
      <c r="AI843">
        <v>0</v>
      </c>
      <c r="AJ843">
        <v>0</v>
      </c>
    </row>
    <row r="844" spans="1:36" x14ac:dyDescent="0.25">
      <c r="A844">
        <v>27374</v>
      </c>
      <c r="B844">
        <v>0</v>
      </c>
      <c r="C844">
        <v>300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 t="s">
        <v>85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7</v>
      </c>
      <c r="AH844">
        <v>0</v>
      </c>
      <c r="AI844">
        <v>0</v>
      </c>
      <c r="AJ844">
        <v>0</v>
      </c>
    </row>
    <row r="845" spans="1:36" x14ac:dyDescent="0.25">
      <c r="A845">
        <v>27381</v>
      </c>
      <c r="B845">
        <v>0</v>
      </c>
      <c r="C845">
        <v>50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 t="s">
        <v>85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2</v>
      </c>
      <c r="AI845">
        <v>0</v>
      </c>
      <c r="AJ845">
        <v>0</v>
      </c>
    </row>
    <row r="846" spans="1:36" x14ac:dyDescent="0.25">
      <c r="A846">
        <v>27382</v>
      </c>
      <c r="B846">
        <v>0</v>
      </c>
      <c r="C846">
        <v>100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 t="s">
        <v>85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3</v>
      </c>
      <c r="AI846">
        <v>0</v>
      </c>
      <c r="AJ846">
        <v>0</v>
      </c>
    </row>
    <row r="847" spans="1:36" x14ac:dyDescent="0.25">
      <c r="A847">
        <v>27383</v>
      </c>
      <c r="B847">
        <v>0</v>
      </c>
      <c r="C847">
        <v>150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 t="s">
        <v>85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5</v>
      </c>
      <c r="AI847">
        <v>0</v>
      </c>
      <c r="AJ847">
        <v>0</v>
      </c>
    </row>
    <row r="848" spans="1:36" x14ac:dyDescent="0.25">
      <c r="A848">
        <v>27384</v>
      </c>
      <c r="B848">
        <v>0</v>
      </c>
      <c r="C848">
        <v>300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 t="s">
        <v>85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7</v>
      </c>
      <c r="AI848">
        <v>0</v>
      </c>
      <c r="AJ848">
        <v>0</v>
      </c>
    </row>
    <row r="849" spans="1:36" x14ac:dyDescent="0.25">
      <c r="A849">
        <v>27391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 t="s">
        <v>85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2</v>
      </c>
      <c r="AJ849">
        <v>2</v>
      </c>
    </row>
    <row r="850" spans="1:36" x14ac:dyDescent="0.25">
      <c r="A850">
        <v>27392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 t="s">
        <v>85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3</v>
      </c>
      <c r="AJ850">
        <v>3</v>
      </c>
    </row>
    <row r="851" spans="1:36" x14ac:dyDescent="0.25">
      <c r="A851">
        <v>27393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 t="s">
        <v>85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5</v>
      </c>
      <c r="AJ851">
        <v>5</v>
      </c>
    </row>
    <row r="852" spans="1:36" x14ac:dyDescent="0.25">
      <c r="A852">
        <v>27394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 t="s">
        <v>85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7</v>
      </c>
      <c r="AJ852">
        <v>7</v>
      </c>
    </row>
    <row r="853" spans="1:36" x14ac:dyDescent="0.25">
      <c r="A853">
        <v>52031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 t="s">
        <v>85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200</v>
      </c>
      <c r="R853">
        <v>200</v>
      </c>
      <c r="S853">
        <v>200</v>
      </c>
      <c r="T853">
        <v>200</v>
      </c>
      <c r="U853">
        <v>200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</row>
    <row r="854" spans="1:36" x14ac:dyDescent="0.25">
      <c r="A854">
        <v>52032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 t="s">
        <v>85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500</v>
      </c>
      <c r="R854">
        <v>500</v>
      </c>
      <c r="S854">
        <v>500</v>
      </c>
      <c r="T854">
        <v>500</v>
      </c>
      <c r="U854">
        <v>500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</row>
    <row r="855" spans="1:36" x14ac:dyDescent="0.25">
      <c r="A855">
        <v>52033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 t="s">
        <v>85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500</v>
      </c>
      <c r="R855">
        <v>500</v>
      </c>
      <c r="S855">
        <v>500</v>
      </c>
      <c r="T855">
        <v>500</v>
      </c>
      <c r="U855">
        <v>500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</row>
    <row r="856" spans="1:36" x14ac:dyDescent="0.25">
      <c r="A856">
        <v>52034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 t="s">
        <v>85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500</v>
      </c>
      <c r="R856">
        <v>500</v>
      </c>
      <c r="S856">
        <v>500</v>
      </c>
      <c r="T856">
        <v>500</v>
      </c>
      <c r="U856">
        <v>500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</row>
    <row r="857" spans="1:36" x14ac:dyDescent="0.25">
      <c r="A857">
        <v>52035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 t="s">
        <v>85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800</v>
      </c>
      <c r="R857">
        <v>800</v>
      </c>
      <c r="S857">
        <v>800</v>
      </c>
      <c r="T857">
        <v>800</v>
      </c>
      <c r="U857">
        <v>800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</row>
    <row r="858" spans="1:36" x14ac:dyDescent="0.25">
      <c r="A858">
        <v>52036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 t="s">
        <v>85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500</v>
      </c>
      <c r="R858">
        <v>500</v>
      </c>
      <c r="S858">
        <v>500</v>
      </c>
      <c r="T858">
        <v>500</v>
      </c>
      <c r="U858">
        <v>500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</row>
    <row r="859" spans="1:36" s="3" customFormat="1" x14ac:dyDescent="0.25">
      <c r="A859" s="3">
        <v>55007</v>
      </c>
      <c r="B859" s="3">
        <v>0</v>
      </c>
      <c r="C859" s="3">
        <v>0</v>
      </c>
      <c r="D859" s="3">
        <v>0</v>
      </c>
      <c r="E859" s="3">
        <v>0</v>
      </c>
      <c r="F859" s="3">
        <v>0</v>
      </c>
      <c r="G859" s="3">
        <v>0</v>
      </c>
      <c r="H859" s="3">
        <v>0</v>
      </c>
      <c r="I859" s="3">
        <v>0</v>
      </c>
      <c r="J859" s="3" t="s">
        <v>85</v>
      </c>
      <c r="K859" s="3">
        <v>0</v>
      </c>
      <c r="L859" s="3">
        <v>0</v>
      </c>
      <c r="M859" s="3">
        <v>0</v>
      </c>
      <c r="N859" s="3">
        <v>0</v>
      </c>
      <c r="O859" s="3">
        <v>0</v>
      </c>
      <c r="P859" s="3">
        <v>0</v>
      </c>
      <c r="Q859" s="3">
        <v>1000</v>
      </c>
      <c r="R859" s="3">
        <v>1000</v>
      </c>
      <c r="S859" s="3">
        <v>1000</v>
      </c>
      <c r="T859" s="3">
        <v>1000</v>
      </c>
      <c r="U859" s="3">
        <v>1000</v>
      </c>
      <c r="V859" s="3">
        <v>0</v>
      </c>
      <c r="W859" s="3">
        <v>0</v>
      </c>
      <c r="X859" s="3">
        <v>0</v>
      </c>
      <c r="Y859" s="3">
        <v>0</v>
      </c>
      <c r="Z859" s="3">
        <v>0</v>
      </c>
      <c r="AA859" s="3">
        <v>0</v>
      </c>
      <c r="AB859" s="3">
        <v>0</v>
      </c>
      <c r="AC859" s="3">
        <v>0</v>
      </c>
      <c r="AD859" s="3">
        <v>0</v>
      </c>
      <c r="AE859" s="3">
        <v>0</v>
      </c>
      <c r="AF859" s="3">
        <v>0</v>
      </c>
      <c r="AG859" s="3">
        <v>0</v>
      </c>
      <c r="AH859" s="3">
        <v>0</v>
      </c>
      <c r="AI859" s="3">
        <v>0</v>
      </c>
      <c r="AJ859" s="3">
        <v>0</v>
      </c>
    </row>
    <row r="860" spans="1:36" s="3" customFormat="1" x14ac:dyDescent="0.25">
      <c r="A860" s="3">
        <v>55008</v>
      </c>
      <c r="B860" s="3">
        <v>0</v>
      </c>
      <c r="C860" s="3">
        <v>0</v>
      </c>
      <c r="D860" s="3">
        <v>0</v>
      </c>
      <c r="E860" s="3">
        <v>0</v>
      </c>
      <c r="F860" s="3">
        <v>0</v>
      </c>
      <c r="G860" s="3">
        <v>0</v>
      </c>
      <c r="H860" s="3">
        <v>0</v>
      </c>
      <c r="I860" s="3">
        <v>0</v>
      </c>
      <c r="J860" s="3" t="s">
        <v>85</v>
      </c>
      <c r="K860" s="3">
        <v>0</v>
      </c>
      <c r="L860" s="3">
        <v>0</v>
      </c>
      <c r="M860" s="3">
        <v>0</v>
      </c>
      <c r="N860" s="3">
        <v>0</v>
      </c>
      <c r="O860" s="3">
        <v>0</v>
      </c>
      <c r="P860" s="3">
        <v>0</v>
      </c>
      <c r="Q860" s="3">
        <v>1000</v>
      </c>
      <c r="R860" s="3">
        <v>1000</v>
      </c>
      <c r="S860" s="3">
        <v>1000</v>
      </c>
      <c r="T860" s="3">
        <v>1000</v>
      </c>
      <c r="U860" s="3">
        <v>1000</v>
      </c>
      <c r="V860" s="3">
        <v>0</v>
      </c>
      <c r="W860" s="3">
        <v>0</v>
      </c>
      <c r="X860" s="3">
        <v>0</v>
      </c>
      <c r="Y860" s="3">
        <v>0</v>
      </c>
      <c r="Z860" s="3">
        <v>0</v>
      </c>
      <c r="AA860" s="3">
        <v>0</v>
      </c>
      <c r="AB860" s="3">
        <v>0</v>
      </c>
      <c r="AC860" s="3">
        <v>0</v>
      </c>
      <c r="AD860" s="3">
        <v>0</v>
      </c>
      <c r="AE860" s="3">
        <v>0</v>
      </c>
      <c r="AF860" s="3">
        <v>0</v>
      </c>
      <c r="AG860" s="3">
        <v>0</v>
      </c>
      <c r="AH860" s="3">
        <v>0</v>
      </c>
      <c r="AI860" s="3">
        <v>0</v>
      </c>
      <c r="AJ860" s="3">
        <v>0</v>
      </c>
    </row>
    <row r="861" spans="1:36" s="3" customFormat="1" x14ac:dyDescent="0.25">
      <c r="A861" s="3">
        <v>55009</v>
      </c>
      <c r="B861" s="3">
        <v>0</v>
      </c>
      <c r="C861" s="3">
        <v>0</v>
      </c>
      <c r="D861" s="3">
        <v>0</v>
      </c>
      <c r="E861" s="3">
        <v>0</v>
      </c>
      <c r="F861" s="3">
        <v>0</v>
      </c>
      <c r="G861" s="3">
        <v>0</v>
      </c>
      <c r="H861" s="3">
        <v>0</v>
      </c>
      <c r="I861" s="3">
        <v>0</v>
      </c>
      <c r="J861" s="3" t="s">
        <v>85</v>
      </c>
      <c r="K861" s="3">
        <v>0</v>
      </c>
      <c r="L861" s="3">
        <v>0</v>
      </c>
      <c r="M861" s="3">
        <v>0</v>
      </c>
      <c r="N861" s="3">
        <v>0</v>
      </c>
      <c r="O861" s="3">
        <v>0</v>
      </c>
      <c r="P861" s="3">
        <v>0</v>
      </c>
      <c r="Q861" s="3">
        <v>900</v>
      </c>
      <c r="R861" s="3">
        <v>900</v>
      </c>
      <c r="S861" s="3">
        <v>900</v>
      </c>
      <c r="T861" s="3">
        <v>900</v>
      </c>
      <c r="U861" s="3">
        <v>900</v>
      </c>
      <c r="V861" s="3">
        <v>0</v>
      </c>
      <c r="W861" s="3">
        <v>0</v>
      </c>
      <c r="X861" s="3">
        <v>0</v>
      </c>
      <c r="Y861" s="3">
        <v>0</v>
      </c>
      <c r="Z861" s="3">
        <v>0</v>
      </c>
      <c r="AA861" s="3">
        <v>0</v>
      </c>
      <c r="AB861" s="3">
        <v>0</v>
      </c>
      <c r="AC861" s="3">
        <v>0</v>
      </c>
      <c r="AD861" s="3">
        <v>0</v>
      </c>
      <c r="AE861" s="3">
        <v>0</v>
      </c>
      <c r="AF861" s="3">
        <v>0</v>
      </c>
      <c r="AG861" s="3">
        <v>0</v>
      </c>
      <c r="AH861" s="3">
        <v>0</v>
      </c>
      <c r="AI861" s="3">
        <v>0</v>
      </c>
      <c r="AJ861" s="3">
        <v>0</v>
      </c>
    </row>
    <row r="862" spans="1:36" s="3" customFormat="1" x14ac:dyDescent="0.25">
      <c r="A862" s="3">
        <v>55010</v>
      </c>
      <c r="B862" s="3">
        <v>0</v>
      </c>
      <c r="C862" s="3">
        <v>0</v>
      </c>
      <c r="D862" s="3">
        <v>0</v>
      </c>
      <c r="E862" s="3">
        <v>0</v>
      </c>
      <c r="F862" s="3">
        <v>0</v>
      </c>
      <c r="G862" s="3">
        <v>0</v>
      </c>
      <c r="H862" s="3">
        <v>0</v>
      </c>
      <c r="I862" s="3">
        <v>0</v>
      </c>
      <c r="J862" s="3" t="s">
        <v>85</v>
      </c>
      <c r="K862" s="3">
        <v>0</v>
      </c>
      <c r="L862" s="3">
        <v>0</v>
      </c>
      <c r="M862" s="3">
        <v>0</v>
      </c>
      <c r="N862" s="3">
        <v>0</v>
      </c>
      <c r="O862" s="3">
        <v>0</v>
      </c>
      <c r="P862" s="3">
        <v>0</v>
      </c>
      <c r="Q862" s="3">
        <v>900</v>
      </c>
      <c r="R862" s="3">
        <v>900</v>
      </c>
      <c r="S862" s="3">
        <v>900</v>
      </c>
      <c r="T862" s="3">
        <v>900</v>
      </c>
      <c r="U862" s="3">
        <v>900</v>
      </c>
      <c r="V862" s="3">
        <v>0</v>
      </c>
      <c r="W862" s="3">
        <v>0</v>
      </c>
      <c r="X862" s="3">
        <v>0</v>
      </c>
      <c r="Y862" s="3">
        <v>0</v>
      </c>
      <c r="Z862" s="3">
        <v>0</v>
      </c>
      <c r="AA862" s="3">
        <v>0</v>
      </c>
      <c r="AB862" s="3">
        <v>0</v>
      </c>
      <c r="AC862" s="3">
        <v>0</v>
      </c>
      <c r="AD862" s="3">
        <v>0</v>
      </c>
      <c r="AE862" s="3">
        <v>0</v>
      </c>
      <c r="AF862" s="3">
        <v>0</v>
      </c>
      <c r="AG862" s="3">
        <v>0</v>
      </c>
      <c r="AH862" s="3">
        <v>0</v>
      </c>
      <c r="AI862" s="3">
        <v>0</v>
      </c>
      <c r="AJ862" s="3">
        <v>0</v>
      </c>
    </row>
    <row r="863" spans="1:36" x14ac:dyDescent="0.25">
      <c r="A863">
        <v>52043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 t="s">
        <v>85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500</v>
      </c>
      <c r="R863">
        <v>500</v>
      </c>
      <c r="S863">
        <v>500</v>
      </c>
      <c r="T863">
        <v>500</v>
      </c>
      <c r="U863">
        <v>500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</row>
    <row r="864" spans="1:36" x14ac:dyDescent="0.25">
      <c r="A864" s="3">
        <v>55031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 t="s">
        <v>85</v>
      </c>
      <c r="K864">
        <v>0</v>
      </c>
      <c r="L864" s="3">
        <v>0</v>
      </c>
      <c r="M864">
        <v>0</v>
      </c>
      <c r="N864">
        <v>80</v>
      </c>
      <c r="O864">
        <v>80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</row>
    <row r="865" spans="1:36" x14ac:dyDescent="0.25">
      <c r="A865">
        <v>55032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 t="s">
        <v>85</v>
      </c>
      <c r="K865">
        <v>0</v>
      </c>
      <c r="L865" s="3">
        <v>0</v>
      </c>
      <c r="M865">
        <v>0</v>
      </c>
      <c r="N865">
        <v>120</v>
      </c>
      <c r="O865">
        <v>120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</row>
    <row r="866" spans="1:36" x14ac:dyDescent="0.25">
      <c r="A866" s="3">
        <v>55033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 t="s">
        <v>85</v>
      </c>
      <c r="K866">
        <v>0</v>
      </c>
      <c r="L866">
        <v>0</v>
      </c>
      <c r="M866">
        <v>0</v>
      </c>
      <c r="N866">
        <v>180</v>
      </c>
      <c r="O866">
        <v>180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</row>
    <row r="867" spans="1:36" x14ac:dyDescent="0.25">
      <c r="A867">
        <v>55034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 t="s">
        <v>85</v>
      </c>
      <c r="K867">
        <v>0</v>
      </c>
      <c r="L867" s="3">
        <v>0</v>
      </c>
      <c r="M867">
        <v>0</v>
      </c>
      <c r="N867">
        <v>270</v>
      </c>
      <c r="O867">
        <v>270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</row>
    <row r="868" spans="1:36" x14ac:dyDescent="0.25">
      <c r="A868">
        <v>55035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 t="s">
        <v>85</v>
      </c>
      <c r="K868">
        <v>0</v>
      </c>
      <c r="L868" s="3">
        <v>0</v>
      </c>
      <c r="M868">
        <v>0</v>
      </c>
      <c r="N868">
        <v>400</v>
      </c>
      <c r="O868">
        <v>400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</row>
    <row r="869" spans="1:36" x14ac:dyDescent="0.25">
      <c r="A869">
        <v>55248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 t="s">
        <v>85</v>
      </c>
      <c r="K869">
        <v>0</v>
      </c>
      <c r="L869" s="3">
        <v>0</v>
      </c>
      <c r="M869">
        <v>0</v>
      </c>
      <c r="N869">
        <v>500</v>
      </c>
      <c r="O869">
        <v>500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</row>
    <row r="870" spans="1:36" x14ac:dyDescent="0.25">
      <c r="A870" s="3">
        <v>55249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 t="s">
        <v>85</v>
      </c>
      <c r="K870">
        <v>0</v>
      </c>
      <c r="L870">
        <v>0</v>
      </c>
      <c r="M870">
        <v>0</v>
      </c>
      <c r="N870">
        <v>590</v>
      </c>
      <c r="O870">
        <v>590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</row>
    <row r="871" spans="1:36" x14ac:dyDescent="0.25">
      <c r="A871">
        <v>55250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 t="s">
        <v>85</v>
      </c>
      <c r="K871">
        <v>0</v>
      </c>
      <c r="L871" s="3">
        <v>0</v>
      </c>
      <c r="M871">
        <v>0</v>
      </c>
      <c r="N871">
        <v>690</v>
      </c>
      <c r="O871">
        <v>690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</row>
    <row r="872" spans="1:36" x14ac:dyDescent="0.25">
      <c r="A872" s="3">
        <v>55251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 t="s">
        <v>85</v>
      </c>
      <c r="K872">
        <v>0</v>
      </c>
      <c r="L872" s="3">
        <v>0</v>
      </c>
      <c r="M872">
        <v>0</v>
      </c>
      <c r="N872">
        <v>790</v>
      </c>
      <c r="O872">
        <v>790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</row>
    <row r="873" spans="1:36" x14ac:dyDescent="0.25">
      <c r="A873">
        <v>20680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 t="s">
        <v>85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500</v>
      </c>
      <c r="R873">
        <v>500</v>
      </c>
      <c r="S873">
        <v>500</v>
      </c>
      <c r="T873">
        <v>500</v>
      </c>
      <c r="U873">
        <v>500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</row>
    <row r="874" spans="1:36" x14ac:dyDescent="0.25">
      <c r="A874">
        <v>20641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 t="s">
        <v>85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400</v>
      </c>
      <c r="R874">
        <v>400</v>
      </c>
      <c r="S874">
        <v>400</v>
      </c>
      <c r="T874">
        <v>400</v>
      </c>
      <c r="U874">
        <v>400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</row>
    <row r="875" spans="1:36" x14ac:dyDescent="0.25">
      <c r="A875">
        <v>20642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 t="s">
        <v>85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400</v>
      </c>
      <c r="R875">
        <v>400</v>
      </c>
      <c r="S875">
        <v>400</v>
      </c>
      <c r="T875">
        <v>400</v>
      </c>
      <c r="U875">
        <v>400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</row>
    <row r="876" spans="1:36" x14ac:dyDescent="0.25">
      <c r="A876">
        <v>20643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 t="s">
        <v>85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300</v>
      </c>
      <c r="R876">
        <v>300</v>
      </c>
      <c r="S876">
        <v>300</v>
      </c>
      <c r="T876">
        <v>300</v>
      </c>
      <c r="U876">
        <v>300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</row>
    <row r="877" spans="1:36" x14ac:dyDescent="0.25">
      <c r="A877">
        <v>20644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 t="s">
        <v>85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300</v>
      </c>
      <c r="R877">
        <v>300</v>
      </c>
      <c r="S877">
        <v>300</v>
      </c>
      <c r="T877">
        <v>300</v>
      </c>
      <c r="U877">
        <v>300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</row>
    <row r="878" spans="1:36" x14ac:dyDescent="0.25">
      <c r="A878">
        <v>20684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 t="s">
        <v>85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200</v>
      </c>
      <c r="R878">
        <v>200</v>
      </c>
      <c r="S878">
        <v>200</v>
      </c>
      <c r="T878">
        <v>200</v>
      </c>
      <c r="U878">
        <v>200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</row>
    <row r="879" spans="1:36" x14ac:dyDescent="0.25">
      <c r="A879">
        <v>22061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 t="s">
        <v>85</v>
      </c>
      <c r="K879">
        <v>0</v>
      </c>
      <c r="L879">
        <v>40</v>
      </c>
      <c r="M879">
        <v>40</v>
      </c>
      <c r="N879">
        <v>32</v>
      </c>
      <c r="O879">
        <v>32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</row>
    <row r="880" spans="1:36" x14ac:dyDescent="0.25">
      <c r="A880">
        <v>22068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 t="s">
        <v>85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400</v>
      </c>
      <c r="R880">
        <v>400</v>
      </c>
      <c r="S880">
        <v>400</v>
      </c>
      <c r="T880">
        <v>400</v>
      </c>
      <c r="U880">
        <v>400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</row>
    <row r="881" spans="1:36" x14ac:dyDescent="0.25">
      <c r="A881">
        <v>20290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 t="s">
        <v>85</v>
      </c>
      <c r="K881">
        <v>0</v>
      </c>
      <c r="L881" s="3">
        <v>30</v>
      </c>
      <c r="M881">
        <v>30</v>
      </c>
      <c r="N881" s="3">
        <v>24</v>
      </c>
      <c r="O881">
        <v>24</v>
      </c>
      <c r="P881" s="3">
        <v>120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</row>
    <row r="882" spans="1:36" x14ac:dyDescent="0.25">
      <c r="A882">
        <v>20291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 t="s">
        <v>85</v>
      </c>
      <c r="K882">
        <v>0</v>
      </c>
      <c r="L882" s="3">
        <v>30</v>
      </c>
      <c r="M882">
        <v>30</v>
      </c>
      <c r="N882" s="3">
        <v>24</v>
      </c>
      <c r="O882">
        <v>24</v>
      </c>
      <c r="P882" s="3">
        <v>120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</row>
    <row r="883" spans="1:36" x14ac:dyDescent="0.25">
      <c r="A883">
        <v>20292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 t="s">
        <v>85</v>
      </c>
      <c r="K883">
        <v>0</v>
      </c>
      <c r="L883" s="3">
        <v>30</v>
      </c>
      <c r="M883">
        <v>30</v>
      </c>
      <c r="N883" s="3">
        <v>24</v>
      </c>
      <c r="O883">
        <v>24</v>
      </c>
      <c r="P883" s="3">
        <v>120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</row>
    <row r="884" spans="1:36" x14ac:dyDescent="0.25">
      <c r="A884">
        <v>20293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 t="s">
        <v>85</v>
      </c>
      <c r="K884">
        <v>0</v>
      </c>
      <c r="L884" s="3">
        <v>30</v>
      </c>
      <c r="M884">
        <v>30</v>
      </c>
      <c r="N884" s="3">
        <v>24</v>
      </c>
      <c r="O884">
        <v>24</v>
      </c>
      <c r="P884" s="3">
        <v>120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</row>
    <row r="885" spans="1:36" x14ac:dyDescent="0.25">
      <c r="A885">
        <v>20294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 t="s">
        <v>85</v>
      </c>
      <c r="K885">
        <v>0</v>
      </c>
      <c r="L885" s="3">
        <v>30</v>
      </c>
      <c r="M885">
        <v>30</v>
      </c>
      <c r="N885" s="3">
        <v>30</v>
      </c>
      <c r="O885">
        <v>30</v>
      </c>
      <c r="P885" s="3">
        <v>200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</row>
    <row r="886" spans="1:36" x14ac:dyDescent="0.25">
      <c r="A886">
        <v>20295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 t="s">
        <v>85</v>
      </c>
      <c r="K886">
        <v>0</v>
      </c>
      <c r="L886" s="3">
        <v>30</v>
      </c>
      <c r="M886">
        <v>30</v>
      </c>
      <c r="N886" s="3">
        <v>30</v>
      </c>
      <c r="O886">
        <v>30</v>
      </c>
      <c r="P886" s="3">
        <v>200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</row>
    <row r="887" spans="1:36" x14ac:dyDescent="0.25">
      <c r="A887">
        <v>20688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 t="s">
        <v>85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200</v>
      </c>
      <c r="R887">
        <v>200</v>
      </c>
      <c r="S887">
        <v>200</v>
      </c>
      <c r="T887">
        <v>200</v>
      </c>
      <c r="U887">
        <v>200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</row>
    <row r="888" spans="1:36" s="11" customFormat="1" x14ac:dyDescent="0.25">
      <c r="A888" s="12">
        <v>20689</v>
      </c>
      <c r="B888" s="11">
        <v>0</v>
      </c>
      <c r="C888" s="11">
        <v>0</v>
      </c>
      <c r="D888" s="11">
        <v>0</v>
      </c>
      <c r="E888" s="11">
        <v>0</v>
      </c>
      <c r="F888" s="11">
        <v>0</v>
      </c>
      <c r="G888" s="11">
        <v>0</v>
      </c>
      <c r="H888" s="11">
        <v>0</v>
      </c>
      <c r="I888" s="11">
        <v>0</v>
      </c>
      <c r="J888" s="11" t="s">
        <v>85</v>
      </c>
      <c r="K888" s="11">
        <v>0</v>
      </c>
      <c r="L888" s="11">
        <v>0</v>
      </c>
      <c r="M888" s="11">
        <v>0</v>
      </c>
      <c r="N888" s="11">
        <v>0</v>
      </c>
      <c r="O888" s="11">
        <v>0</v>
      </c>
      <c r="P888" s="11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 s="11">
        <v>0</v>
      </c>
      <c r="W888" s="11">
        <v>0</v>
      </c>
      <c r="X888" s="11">
        <v>0</v>
      </c>
      <c r="Y888" s="11">
        <v>0</v>
      </c>
      <c r="Z888" s="11">
        <v>0</v>
      </c>
      <c r="AA888" s="11">
        <v>0</v>
      </c>
      <c r="AB888" s="11">
        <v>0</v>
      </c>
      <c r="AC888" s="11">
        <v>0</v>
      </c>
      <c r="AD888" s="11">
        <v>0</v>
      </c>
      <c r="AE888" s="11">
        <v>0</v>
      </c>
      <c r="AF888" s="11">
        <v>0</v>
      </c>
      <c r="AG888" s="11">
        <v>0</v>
      </c>
      <c r="AH888" s="11">
        <v>0</v>
      </c>
      <c r="AI888" s="11">
        <v>0</v>
      </c>
      <c r="AJ888" s="11">
        <v>0</v>
      </c>
    </row>
    <row r="889" spans="1:36" s="11" customFormat="1" x14ac:dyDescent="0.25">
      <c r="A889" s="12">
        <v>20690</v>
      </c>
      <c r="B889" s="11">
        <v>0</v>
      </c>
      <c r="C889" s="11">
        <v>0</v>
      </c>
      <c r="D889" s="11">
        <v>0</v>
      </c>
      <c r="E889" s="11">
        <v>0</v>
      </c>
      <c r="F889" s="11">
        <v>0</v>
      </c>
      <c r="G889" s="11">
        <v>0</v>
      </c>
      <c r="H889" s="11">
        <v>0</v>
      </c>
      <c r="I889" s="11">
        <v>0</v>
      </c>
      <c r="J889" s="11" t="s">
        <v>85</v>
      </c>
      <c r="K889" s="11">
        <v>0</v>
      </c>
      <c r="L889" s="11">
        <v>0</v>
      </c>
      <c r="M889" s="11">
        <v>0</v>
      </c>
      <c r="N889" s="11">
        <v>0</v>
      </c>
      <c r="O889" s="11">
        <v>0</v>
      </c>
      <c r="P889" s="11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 s="11">
        <v>0</v>
      </c>
      <c r="W889" s="11">
        <v>0</v>
      </c>
      <c r="X889" s="11">
        <v>0</v>
      </c>
      <c r="Y889" s="11">
        <v>0</v>
      </c>
      <c r="Z889" s="11">
        <v>0</v>
      </c>
      <c r="AA889" s="11">
        <v>0</v>
      </c>
      <c r="AB889" s="11">
        <v>0</v>
      </c>
      <c r="AC889" s="11">
        <v>0</v>
      </c>
      <c r="AD889" s="11">
        <v>0</v>
      </c>
      <c r="AE889" s="11">
        <v>0</v>
      </c>
      <c r="AF889" s="11">
        <v>0</v>
      </c>
      <c r="AG889" s="11">
        <v>0</v>
      </c>
      <c r="AH889" s="11">
        <v>0</v>
      </c>
      <c r="AI889" s="11">
        <v>0</v>
      </c>
      <c r="AJ889" s="11">
        <v>0</v>
      </c>
    </row>
    <row r="890" spans="1:36" s="11" customFormat="1" x14ac:dyDescent="0.25">
      <c r="A890" s="12">
        <v>20691</v>
      </c>
      <c r="B890" s="11">
        <v>0</v>
      </c>
      <c r="C890" s="11">
        <v>0</v>
      </c>
      <c r="D890" s="11">
        <v>0</v>
      </c>
      <c r="E890" s="11">
        <v>0</v>
      </c>
      <c r="F890" s="11">
        <v>0</v>
      </c>
      <c r="G890" s="11">
        <v>0</v>
      </c>
      <c r="H890" s="11">
        <v>0</v>
      </c>
      <c r="I890" s="11">
        <v>0</v>
      </c>
      <c r="J890" s="11" t="s">
        <v>85</v>
      </c>
      <c r="K890" s="11">
        <v>0</v>
      </c>
      <c r="L890" s="11">
        <v>0</v>
      </c>
      <c r="M890" s="11">
        <v>0</v>
      </c>
      <c r="N890" s="11">
        <v>0</v>
      </c>
      <c r="O890" s="11">
        <v>0</v>
      </c>
      <c r="P890" s="11">
        <v>0</v>
      </c>
      <c r="Q890" s="11">
        <v>400</v>
      </c>
      <c r="R890" s="11">
        <v>400</v>
      </c>
      <c r="S890" s="11">
        <v>400</v>
      </c>
      <c r="T890" s="11">
        <v>400</v>
      </c>
      <c r="U890" s="11">
        <v>400</v>
      </c>
      <c r="V890" s="11">
        <v>0</v>
      </c>
      <c r="W890" s="11">
        <v>0</v>
      </c>
      <c r="X890" s="11">
        <v>0</v>
      </c>
      <c r="Y890" s="11">
        <v>0</v>
      </c>
      <c r="Z890" s="11">
        <v>0</v>
      </c>
      <c r="AA890" s="11">
        <v>0</v>
      </c>
      <c r="AB890" s="11">
        <v>0</v>
      </c>
      <c r="AC890" s="11">
        <v>0</v>
      </c>
      <c r="AD890" s="11">
        <v>0</v>
      </c>
      <c r="AE890" s="11">
        <v>0</v>
      </c>
      <c r="AF890" s="11">
        <v>0</v>
      </c>
      <c r="AG890" s="11">
        <v>0</v>
      </c>
      <c r="AH890" s="11">
        <v>0</v>
      </c>
      <c r="AI890" s="11">
        <v>0</v>
      </c>
      <c r="AJ890" s="11">
        <v>0</v>
      </c>
    </row>
    <row r="891" spans="1:36" s="11" customFormat="1" x14ac:dyDescent="0.25">
      <c r="A891" s="12">
        <v>20692</v>
      </c>
      <c r="B891" s="11">
        <v>0</v>
      </c>
      <c r="C891" s="11">
        <v>0</v>
      </c>
      <c r="D891" s="11">
        <v>0</v>
      </c>
      <c r="E891" s="11">
        <v>0</v>
      </c>
      <c r="F891" s="11">
        <v>0</v>
      </c>
      <c r="G891" s="11">
        <v>0</v>
      </c>
      <c r="H891" s="11">
        <v>0</v>
      </c>
      <c r="I891" s="11">
        <v>0</v>
      </c>
      <c r="J891" s="11" t="s">
        <v>85</v>
      </c>
      <c r="K891" s="11">
        <v>0</v>
      </c>
      <c r="L891" s="11">
        <v>0</v>
      </c>
      <c r="M891" s="11">
        <v>0</v>
      </c>
      <c r="N891" s="11">
        <v>0</v>
      </c>
      <c r="O891" s="11">
        <v>0</v>
      </c>
      <c r="P891" s="11">
        <v>0</v>
      </c>
      <c r="Q891" s="11">
        <v>200</v>
      </c>
      <c r="R891" s="11">
        <v>200</v>
      </c>
      <c r="S891" s="11">
        <v>200</v>
      </c>
      <c r="T891" s="11">
        <v>200</v>
      </c>
      <c r="U891" s="11">
        <v>200</v>
      </c>
      <c r="V891" s="11">
        <v>0</v>
      </c>
      <c r="W891" s="11">
        <v>0</v>
      </c>
      <c r="X891" s="11">
        <v>0</v>
      </c>
      <c r="Y891" s="11">
        <v>0</v>
      </c>
      <c r="Z891" s="11">
        <v>0</v>
      </c>
      <c r="AA891" s="11">
        <v>0</v>
      </c>
      <c r="AB891" s="11">
        <v>0</v>
      </c>
      <c r="AC891" s="11">
        <v>0</v>
      </c>
      <c r="AD891" s="11">
        <v>0</v>
      </c>
      <c r="AE891" s="11">
        <v>0</v>
      </c>
      <c r="AF891" s="11">
        <v>0</v>
      </c>
      <c r="AG891" s="11">
        <v>0</v>
      </c>
      <c r="AH891" s="11">
        <v>0</v>
      </c>
      <c r="AI891" s="11">
        <v>0</v>
      </c>
      <c r="AJ891" s="11">
        <v>0</v>
      </c>
    </row>
    <row r="892" spans="1:36" s="11" customFormat="1" x14ac:dyDescent="0.25">
      <c r="A892" s="12">
        <v>20693</v>
      </c>
      <c r="B892" s="11">
        <v>0</v>
      </c>
      <c r="C892" s="11">
        <v>0</v>
      </c>
      <c r="D892" s="11">
        <v>0</v>
      </c>
      <c r="E892" s="11">
        <v>0</v>
      </c>
      <c r="F892" s="11">
        <v>0</v>
      </c>
      <c r="G892" s="11">
        <v>0</v>
      </c>
      <c r="H892" s="11">
        <v>0</v>
      </c>
      <c r="I892" s="11">
        <v>0</v>
      </c>
      <c r="J892" s="11" t="s">
        <v>85</v>
      </c>
      <c r="K892" s="11">
        <v>0</v>
      </c>
      <c r="L892" s="11">
        <v>0</v>
      </c>
      <c r="M892" s="11">
        <v>0</v>
      </c>
      <c r="N892" s="11">
        <v>0</v>
      </c>
      <c r="O892" s="11">
        <v>0</v>
      </c>
      <c r="P892" s="11">
        <v>0</v>
      </c>
      <c r="Q892" s="11">
        <v>250</v>
      </c>
      <c r="R892" s="11">
        <v>250</v>
      </c>
      <c r="S892" s="11">
        <v>250</v>
      </c>
      <c r="T892" s="11">
        <v>250</v>
      </c>
      <c r="U892" s="11">
        <v>250</v>
      </c>
      <c r="V892" s="11">
        <v>0</v>
      </c>
      <c r="W892" s="11">
        <v>0</v>
      </c>
      <c r="X892" s="11">
        <v>0</v>
      </c>
      <c r="Y892" s="11">
        <v>0</v>
      </c>
      <c r="Z892" s="11">
        <v>0</v>
      </c>
      <c r="AA892" s="11">
        <v>0</v>
      </c>
      <c r="AB892" s="11">
        <v>0</v>
      </c>
      <c r="AC892" s="11">
        <v>0</v>
      </c>
      <c r="AD892" s="11">
        <v>0</v>
      </c>
      <c r="AE892" s="11">
        <v>0</v>
      </c>
      <c r="AF892" s="11">
        <v>0</v>
      </c>
      <c r="AG892" s="11">
        <v>0</v>
      </c>
      <c r="AH892" s="11">
        <v>0</v>
      </c>
      <c r="AI892" s="11">
        <v>0</v>
      </c>
      <c r="AJ892" s="11">
        <v>0</v>
      </c>
    </row>
    <row r="893" spans="1:36" s="11" customFormat="1" x14ac:dyDescent="0.25">
      <c r="A893" s="12">
        <v>20694</v>
      </c>
      <c r="B893" s="11">
        <v>0</v>
      </c>
      <c r="C893" s="11">
        <v>0</v>
      </c>
      <c r="D893" s="11">
        <v>0</v>
      </c>
      <c r="E893" s="11">
        <v>0</v>
      </c>
      <c r="F893" s="11">
        <v>0</v>
      </c>
      <c r="G893" s="11">
        <v>0</v>
      </c>
      <c r="H893" s="11">
        <v>0</v>
      </c>
      <c r="I893" s="11">
        <v>0</v>
      </c>
      <c r="J893" s="11" t="s">
        <v>85</v>
      </c>
      <c r="K893" s="11">
        <v>0</v>
      </c>
      <c r="L893" s="11">
        <v>0</v>
      </c>
      <c r="M893" s="11">
        <v>0</v>
      </c>
      <c r="N893" s="11">
        <v>0</v>
      </c>
      <c r="O893" s="11">
        <v>0</v>
      </c>
      <c r="P893" s="11">
        <v>0</v>
      </c>
      <c r="Q893" s="11">
        <v>300</v>
      </c>
      <c r="R893" s="11">
        <v>300</v>
      </c>
      <c r="S893" s="11">
        <v>300</v>
      </c>
      <c r="T893" s="11">
        <v>300</v>
      </c>
      <c r="U893" s="11">
        <v>300</v>
      </c>
      <c r="V893" s="11">
        <v>0</v>
      </c>
      <c r="W893" s="11">
        <v>0</v>
      </c>
      <c r="X893" s="11">
        <v>0</v>
      </c>
      <c r="Y893" s="11">
        <v>0</v>
      </c>
      <c r="Z893" s="11">
        <v>0</v>
      </c>
      <c r="AA893" s="11">
        <v>0</v>
      </c>
      <c r="AB893" s="11">
        <v>0</v>
      </c>
      <c r="AC893" s="11">
        <v>0</v>
      </c>
      <c r="AD893" s="11">
        <v>0</v>
      </c>
      <c r="AE893" s="11">
        <v>0</v>
      </c>
      <c r="AF893" s="11">
        <v>0</v>
      </c>
      <c r="AG893" s="11">
        <v>0</v>
      </c>
      <c r="AH893" s="11">
        <v>0</v>
      </c>
      <c r="AI893" s="11">
        <v>0</v>
      </c>
      <c r="AJ893" s="11">
        <v>0</v>
      </c>
    </row>
    <row r="894" spans="1:36" s="11" customFormat="1" x14ac:dyDescent="0.25">
      <c r="A894" s="12">
        <v>20695</v>
      </c>
      <c r="B894" s="11">
        <v>0</v>
      </c>
      <c r="C894" s="11">
        <v>0</v>
      </c>
      <c r="D894" s="11">
        <v>0</v>
      </c>
      <c r="E894" s="11">
        <v>0</v>
      </c>
      <c r="F894" s="11">
        <v>0</v>
      </c>
      <c r="G894" s="11">
        <v>0</v>
      </c>
      <c r="H894" s="11">
        <v>0</v>
      </c>
      <c r="I894" s="11">
        <v>0</v>
      </c>
      <c r="J894" s="11" t="s">
        <v>85</v>
      </c>
      <c r="K894" s="11">
        <v>0</v>
      </c>
      <c r="L894" s="11">
        <v>0</v>
      </c>
      <c r="M894" s="11">
        <v>0</v>
      </c>
      <c r="N894" s="11">
        <v>0</v>
      </c>
      <c r="O894" s="11">
        <v>0</v>
      </c>
      <c r="P894" s="11">
        <v>0</v>
      </c>
      <c r="Q894" s="11">
        <v>350</v>
      </c>
      <c r="R894" s="11">
        <v>350</v>
      </c>
      <c r="S894" s="11">
        <v>350</v>
      </c>
      <c r="T894" s="11">
        <v>350</v>
      </c>
      <c r="U894" s="11">
        <v>350</v>
      </c>
      <c r="V894" s="11">
        <v>0</v>
      </c>
      <c r="W894" s="11">
        <v>0</v>
      </c>
      <c r="X894" s="11">
        <v>0</v>
      </c>
      <c r="Y894" s="11">
        <v>0</v>
      </c>
      <c r="Z894" s="11">
        <v>0</v>
      </c>
      <c r="AA894" s="11">
        <v>0</v>
      </c>
      <c r="AB894" s="11">
        <v>0</v>
      </c>
      <c r="AC894" s="11">
        <v>0</v>
      </c>
      <c r="AD894" s="11">
        <v>0</v>
      </c>
      <c r="AE894" s="11">
        <v>0</v>
      </c>
      <c r="AF894" s="11">
        <v>0</v>
      </c>
      <c r="AG894" s="11">
        <v>0</v>
      </c>
      <c r="AH894" s="11">
        <v>0</v>
      </c>
      <c r="AI894" s="11">
        <v>0</v>
      </c>
      <c r="AJ894" s="11">
        <v>0</v>
      </c>
    </row>
    <row r="895" spans="1:36" s="11" customFormat="1" x14ac:dyDescent="0.25">
      <c r="A895" s="12">
        <v>20696</v>
      </c>
      <c r="B895" s="11">
        <v>0</v>
      </c>
      <c r="C895" s="11">
        <v>0</v>
      </c>
      <c r="D895" s="11">
        <v>0</v>
      </c>
      <c r="E895" s="11">
        <v>0</v>
      </c>
      <c r="F895" s="11">
        <v>0</v>
      </c>
      <c r="G895" s="11">
        <v>0</v>
      </c>
      <c r="H895" s="11">
        <v>0</v>
      </c>
      <c r="I895" s="11">
        <v>0</v>
      </c>
      <c r="J895" s="11" t="s">
        <v>85</v>
      </c>
      <c r="K895" s="11">
        <v>0</v>
      </c>
      <c r="L895" s="11">
        <v>0</v>
      </c>
      <c r="M895" s="11">
        <v>0</v>
      </c>
      <c r="N895" s="11">
        <v>0</v>
      </c>
      <c r="O895" s="11">
        <v>0</v>
      </c>
      <c r="P895" s="11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 s="11">
        <v>0</v>
      </c>
      <c r="W895" s="11">
        <v>0</v>
      </c>
      <c r="X895" s="11">
        <v>0</v>
      </c>
      <c r="Y895" s="11">
        <v>0</v>
      </c>
      <c r="Z895" s="11">
        <v>0</v>
      </c>
      <c r="AA895" s="11">
        <v>0</v>
      </c>
      <c r="AB895" s="11">
        <v>0</v>
      </c>
      <c r="AC895" s="11">
        <v>0</v>
      </c>
      <c r="AD895" s="11">
        <v>0</v>
      </c>
      <c r="AE895" s="11">
        <v>0</v>
      </c>
      <c r="AF895" s="11">
        <v>0</v>
      </c>
      <c r="AG895" s="11">
        <v>0</v>
      </c>
      <c r="AH895" s="11">
        <v>0</v>
      </c>
      <c r="AI895" s="11">
        <v>0</v>
      </c>
      <c r="AJ895" s="11">
        <v>0</v>
      </c>
    </row>
    <row r="896" spans="1:36" x14ac:dyDescent="0.25">
      <c r="A896" s="4">
        <v>27401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 t="s">
        <v>85</v>
      </c>
      <c r="K896">
        <v>0</v>
      </c>
      <c r="L896" s="6">
        <v>15</v>
      </c>
      <c r="M896" s="6">
        <v>15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</row>
    <row r="897" spans="1:36" x14ac:dyDescent="0.25">
      <c r="A897">
        <v>27402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 t="s">
        <v>85</v>
      </c>
      <c r="K897">
        <v>0</v>
      </c>
      <c r="L897" s="6">
        <v>30</v>
      </c>
      <c r="M897" s="6">
        <v>30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</row>
    <row r="898" spans="1:36" x14ac:dyDescent="0.25">
      <c r="A898">
        <v>27403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 t="s">
        <v>85</v>
      </c>
      <c r="K898">
        <v>0</v>
      </c>
      <c r="L898" s="6">
        <v>60</v>
      </c>
      <c r="M898" s="6">
        <v>60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</row>
    <row r="899" spans="1:36" x14ac:dyDescent="0.25">
      <c r="A899">
        <v>27404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 t="s">
        <v>85</v>
      </c>
      <c r="K899">
        <v>0</v>
      </c>
      <c r="L899" s="6">
        <v>120</v>
      </c>
      <c r="M899" s="6">
        <v>120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</row>
    <row r="900" spans="1:36" x14ac:dyDescent="0.25">
      <c r="A900">
        <v>27405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 t="s">
        <v>85</v>
      </c>
      <c r="K900">
        <v>0</v>
      </c>
      <c r="L900" s="6">
        <v>240</v>
      </c>
      <c r="M900" s="6">
        <v>240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</row>
    <row r="901" spans="1:36" x14ac:dyDescent="0.25">
      <c r="A901">
        <v>27406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 t="s">
        <v>85</v>
      </c>
      <c r="K901">
        <v>0</v>
      </c>
      <c r="L901" s="6">
        <v>480</v>
      </c>
      <c r="M901" s="6">
        <v>480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</row>
    <row r="902" spans="1:36" x14ac:dyDescent="0.25">
      <c r="A902">
        <v>27407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 t="s">
        <v>85</v>
      </c>
      <c r="K902">
        <v>0</v>
      </c>
      <c r="L902" s="6">
        <v>960</v>
      </c>
      <c r="M902" s="6">
        <v>960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</row>
    <row r="903" spans="1:36" x14ac:dyDescent="0.25">
      <c r="A903">
        <v>27411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 t="s">
        <v>85</v>
      </c>
      <c r="K903">
        <v>0</v>
      </c>
      <c r="L903">
        <v>0</v>
      </c>
      <c r="M903">
        <v>0</v>
      </c>
      <c r="N903" s="6">
        <v>12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</row>
    <row r="904" spans="1:36" x14ac:dyDescent="0.25">
      <c r="A904">
        <v>27412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 t="s">
        <v>85</v>
      </c>
      <c r="K904">
        <v>0</v>
      </c>
      <c r="L904">
        <v>0</v>
      </c>
      <c r="M904">
        <v>0</v>
      </c>
      <c r="N904" s="6">
        <v>24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</row>
    <row r="905" spans="1:36" x14ac:dyDescent="0.25">
      <c r="A905">
        <v>27413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 t="s">
        <v>85</v>
      </c>
      <c r="K905">
        <v>0</v>
      </c>
      <c r="L905">
        <v>0</v>
      </c>
      <c r="M905">
        <v>0</v>
      </c>
      <c r="N905" s="6">
        <v>48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</row>
    <row r="906" spans="1:36" x14ac:dyDescent="0.25">
      <c r="A906">
        <v>27414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 t="s">
        <v>85</v>
      </c>
      <c r="K906">
        <v>0</v>
      </c>
      <c r="L906">
        <v>0</v>
      </c>
      <c r="M906">
        <v>0</v>
      </c>
      <c r="N906" s="6">
        <v>96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</row>
    <row r="907" spans="1:36" x14ac:dyDescent="0.25">
      <c r="A907">
        <v>27415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 t="s">
        <v>85</v>
      </c>
      <c r="K907">
        <v>0</v>
      </c>
      <c r="L907">
        <v>0</v>
      </c>
      <c r="M907">
        <v>0</v>
      </c>
      <c r="N907" s="6">
        <v>192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</row>
    <row r="908" spans="1:36" x14ac:dyDescent="0.25">
      <c r="A908">
        <v>27416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 t="s">
        <v>85</v>
      </c>
      <c r="K908">
        <v>0</v>
      </c>
      <c r="L908">
        <v>0</v>
      </c>
      <c r="M908">
        <v>0</v>
      </c>
      <c r="N908" s="6">
        <v>384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</row>
    <row r="909" spans="1:36" x14ac:dyDescent="0.25">
      <c r="A909">
        <v>27417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 t="s">
        <v>85</v>
      </c>
      <c r="K909">
        <v>0</v>
      </c>
      <c r="L909">
        <v>0</v>
      </c>
      <c r="M909">
        <v>0</v>
      </c>
      <c r="N909" s="6">
        <v>768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</row>
    <row r="910" spans="1:36" x14ac:dyDescent="0.25">
      <c r="A910">
        <v>27421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 t="s">
        <v>85</v>
      </c>
      <c r="K910">
        <v>0</v>
      </c>
      <c r="L910">
        <v>0</v>
      </c>
      <c r="M910">
        <v>0</v>
      </c>
      <c r="N910">
        <v>0</v>
      </c>
      <c r="O910" s="6">
        <v>12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</row>
    <row r="911" spans="1:36" x14ac:dyDescent="0.25">
      <c r="A911">
        <v>27422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 t="s">
        <v>85</v>
      </c>
      <c r="K911">
        <v>0</v>
      </c>
      <c r="L911">
        <v>0</v>
      </c>
      <c r="M911">
        <v>0</v>
      </c>
      <c r="N911">
        <v>0</v>
      </c>
      <c r="O911" s="6">
        <v>24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</row>
    <row r="912" spans="1:36" x14ac:dyDescent="0.25">
      <c r="A912">
        <v>27423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 t="s">
        <v>85</v>
      </c>
      <c r="K912">
        <v>0</v>
      </c>
      <c r="L912">
        <v>0</v>
      </c>
      <c r="M912">
        <v>0</v>
      </c>
      <c r="N912">
        <v>0</v>
      </c>
      <c r="O912" s="6">
        <v>48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</row>
    <row r="913" spans="1:36" x14ac:dyDescent="0.25">
      <c r="A913">
        <v>27424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 t="s">
        <v>85</v>
      </c>
      <c r="K913">
        <v>0</v>
      </c>
      <c r="L913">
        <v>0</v>
      </c>
      <c r="M913">
        <v>0</v>
      </c>
      <c r="N913">
        <v>0</v>
      </c>
      <c r="O913" s="6">
        <v>96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</row>
    <row r="914" spans="1:36" x14ac:dyDescent="0.25">
      <c r="A914">
        <v>27425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 t="s">
        <v>85</v>
      </c>
      <c r="K914">
        <v>0</v>
      </c>
      <c r="L914">
        <v>0</v>
      </c>
      <c r="M914">
        <v>0</v>
      </c>
      <c r="N914">
        <v>0</v>
      </c>
      <c r="O914" s="6">
        <v>192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</row>
    <row r="915" spans="1:36" x14ac:dyDescent="0.25">
      <c r="A915">
        <v>27426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 t="s">
        <v>85</v>
      </c>
      <c r="K915">
        <v>0</v>
      </c>
      <c r="L915">
        <v>0</v>
      </c>
      <c r="M915">
        <v>0</v>
      </c>
      <c r="N915">
        <v>0</v>
      </c>
      <c r="O915" s="6">
        <v>384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</row>
    <row r="916" spans="1:36" x14ac:dyDescent="0.25">
      <c r="A916">
        <v>27427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 t="s">
        <v>85</v>
      </c>
      <c r="K916">
        <v>0</v>
      </c>
      <c r="L916">
        <v>0</v>
      </c>
      <c r="M916">
        <v>0</v>
      </c>
      <c r="N916">
        <v>0</v>
      </c>
      <c r="O916" s="6">
        <v>768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</row>
    <row r="917" spans="1:36" x14ac:dyDescent="0.25">
      <c r="A917">
        <v>27431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 t="s">
        <v>85</v>
      </c>
      <c r="K917">
        <v>0</v>
      </c>
      <c r="L917">
        <v>0</v>
      </c>
      <c r="M917">
        <v>0</v>
      </c>
      <c r="N917">
        <v>0</v>
      </c>
      <c r="O917">
        <v>0</v>
      </c>
      <c r="P917" s="6">
        <v>100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</row>
    <row r="918" spans="1:36" x14ac:dyDescent="0.25">
      <c r="A918">
        <v>27432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 t="s">
        <v>85</v>
      </c>
      <c r="K918">
        <v>0</v>
      </c>
      <c r="L918">
        <v>0</v>
      </c>
      <c r="M918">
        <v>0</v>
      </c>
      <c r="N918">
        <v>0</v>
      </c>
      <c r="O918">
        <v>0</v>
      </c>
      <c r="P918" s="6">
        <v>200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</row>
    <row r="919" spans="1:36" x14ac:dyDescent="0.25">
      <c r="A919">
        <v>27433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 t="s">
        <v>85</v>
      </c>
      <c r="K919">
        <v>0</v>
      </c>
      <c r="L919">
        <v>0</v>
      </c>
      <c r="M919">
        <v>0</v>
      </c>
      <c r="N919">
        <v>0</v>
      </c>
      <c r="O919">
        <v>0</v>
      </c>
      <c r="P919" s="6">
        <v>400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</row>
    <row r="920" spans="1:36" x14ac:dyDescent="0.25">
      <c r="A920">
        <v>27434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 t="s">
        <v>85</v>
      </c>
      <c r="K920">
        <v>0</v>
      </c>
      <c r="L920">
        <v>0</v>
      </c>
      <c r="M920">
        <v>0</v>
      </c>
      <c r="N920">
        <v>0</v>
      </c>
      <c r="O920">
        <v>0</v>
      </c>
      <c r="P920" s="6">
        <v>800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</row>
    <row r="921" spans="1:36" x14ac:dyDescent="0.25">
      <c r="A921">
        <v>27435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 t="s">
        <v>85</v>
      </c>
      <c r="K921">
        <v>0</v>
      </c>
      <c r="L921">
        <v>0</v>
      </c>
      <c r="M921">
        <v>0</v>
      </c>
      <c r="N921">
        <v>0</v>
      </c>
      <c r="O921">
        <v>0</v>
      </c>
      <c r="P921" s="6">
        <v>1600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</row>
    <row r="922" spans="1:36" x14ac:dyDescent="0.25">
      <c r="A922">
        <v>27436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 t="s">
        <v>85</v>
      </c>
      <c r="K922">
        <v>0</v>
      </c>
      <c r="L922">
        <v>0</v>
      </c>
      <c r="M922">
        <v>0</v>
      </c>
      <c r="N922">
        <v>0</v>
      </c>
      <c r="O922">
        <v>0</v>
      </c>
      <c r="P922" s="6">
        <v>3200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</row>
    <row r="923" spans="1:36" x14ac:dyDescent="0.25">
      <c r="A923">
        <v>27437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 t="s">
        <v>85</v>
      </c>
      <c r="K923">
        <v>0</v>
      </c>
      <c r="L923">
        <v>0</v>
      </c>
      <c r="M923">
        <v>0</v>
      </c>
      <c r="N923">
        <v>0</v>
      </c>
      <c r="O923">
        <v>0</v>
      </c>
      <c r="P923" s="6">
        <v>6400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</row>
    <row r="924" spans="1:36" x14ac:dyDescent="0.25">
      <c r="A924">
        <v>20682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 t="s">
        <v>85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200</v>
      </c>
      <c r="R924">
        <v>200</v>
      </c>
      <c r="S924">
        <v>200</v>
      </c>
      <c r="T924">
        <v>200</v>
      </c>
      <c r="U924">
        <v>200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</row>
    <row r="925" spans="1:36" x14ac:dyDescent="0.25">
      <c r="A925">
        <v>20685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 t="s">
        <v>85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200</v>
      </c>
      <c r="R925">
        <v>200</v>
      </c>
      <c r="S925">
        <v>200</v>
      </c>
      <c r="T925">
        <v>200</v>
      </c>
      <c r="U925">
        <v>200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</row>
    <row r="926" spans="1:36" x14ac:dyDescent="0.25">
      <c r="A926">
        <v>20686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 t="s">
        <v>85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200</v>
      </c>
      <c r="R926">
        <v>200</v>
      </c>
      <c r="S926">
        <v>200</v>
      </c>
      <c r="T926">
        <v>200</v>
      </c>
      <c r="U926">
        <v>200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</row>
    <row r="927" spans="1:36" x14ac:dyDescent="0.25">
      <c r="A927" s="7">
        <v>29110</v>
      </c>
      <c r="B927" s="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 t="s">
        <v>85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100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</row>
    <row r="928" spans="1:36" x14ac:dyDescent="0.25">
      <c r="A928" s="7">
        <v>29111</v>
      </c>
      <c r="B928" s="7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 t="s">
        <v>85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100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</row>
    <row r="929" spans="1:36" x14ac:dyDescent="0.25">
      <c r="A929" s="7">
        <v>29112</v>
      </c>
      <c r="B929" s="7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 t="s">
        <v>85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100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</row>
    <row r="930" spans="1:36" x14ac:dyDescent="0.25">
      <c r="A930" s="7">
        <v>29113</v>
      </c>
      <c r="B930" s="7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 t="s">
        <v>85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100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</row>
    <row r="931" spans="1:36" x14ac:dyDescent="0.25">
      <c r="A931" s="7">
        <v>29114</v>
      </c>
      <c r="B931" s="7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 t="s">
        <v>85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100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</row>
    <row r="932" spans="1:36" x14ac:dyDescent="0.25">
      <c r="A932" s="7">
        <v>29115</v>
      </c>
      <c r="B932" s="7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 t="s">
        <v>85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100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</row>
    <row r="933" spans="1:36" x14ac:dyDescent="0.25">
      <c r="A933" s="7">
        <v>29116</v>
      </c>
      <c r="B933" s="7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 t="s">
        <v>85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100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</row>
    <row r="934" spans="1:36" x14ac:dyDescent="0.25">
      <c r="A934" s="7">
        <v>29117</v>
      </c>
      <c r="B934" s="7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 t="s">
        <v>85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100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</row>
    <row r="935" spans="1:36" x14ac:dyDescent="0.25">
      <c r="A935" s="7">
        <v>29118</v>
      </c>
      <c r="B935" s="7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 t="s">
        <v>85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100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</row>
    <row r="936" spans="1:36" x14ac:dyDescent="0.25">
      <c r="A936" s="7">
        <v>29119</v>
      </c>
      <c r="B936" s="7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 t="s">
        <v>85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100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</row>
    <row r="937" spans="1:36" x14ac:dyDescent="0.25">
      <c r="A937" s="7">
        <v>29120</v>
      </c>
      <c r="B937" s="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 t="s">
        <v>85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200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</row>
    <row r="938" spans="1:36" x14ac:dyDescent="0.25">
      <c r="A938" s="7">
        <v>29121</v>
      </c>
      <c r="B938" s="7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 t="s">
        <v>85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200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</row>
    <row r="939" spans="1:36" x14ac:dyDescent="0.25">
      <c r="A939" s="7">
        <v>29122</v>
      </c>
      <c r="B939" s="7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 t="s">
        <v>85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200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</row>
    <row r="940" spans="1:36" x14ac:dyDescent="0.25">
      <c r="A940" s="7">
        <v>29123</v>
      </c>
      <c r="B940" s="7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 t="s">
        <v>85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200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</row>
    <row r="941" spans="1:36" x14ac:dyDescent="0.25">
      <c r="A941" s="7">
        <v>29124</v>
      </c>
      <c r="B941" s="7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 t="s">
        <v>85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200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</row>
    <row r="942" spans="1:36" x14ac:dyDescent="0.25">
      <c r="A942" s="7">
        <v>29125</v>
      </c>
      <c r="B942" s="7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 t="s">
        <v>85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200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</row>
    <row r="943" spans="1:36" x14ac:dyDescent="0.25">
      <c r="A943" s="7">
        <v>29126</v>
      </c>
      <c r="B943" s="7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 t="s">
        <v>85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200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</row>
    <row r="944" spans="1:36" x14ac:dyDescent="0.25">
      <c r="A944" s="7">
        <v>29127</v>
      </c>
      <c r="B944" s="7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 t="s">
        <v>85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200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</row>
    <row r="945" spans="1:36" x14ac:dyDescent="0.25">
      <c r="A945" s="7">
        <v>29128</v>
      </c>
      <c r="B945" s="7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 t="s">
        <v>85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200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</row>
    <row r="946" spans="1:36" x14ac:dyDescent="0.25">
      <c r="A946" s="7">
        <v>29129</v>
      </c>
      <c r="B946" s="7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 t="s">
        <v>85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200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</row>
    <row r="947" spans="1:36" x14ac:dyDescent="0.25">
      <c r="A947" s="7">
        <v>29130</v>
      </c>
      <c r="B947" s="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 t="s">
        <v>85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300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</row>
    <row r="948" spans="1:36" x14ac:dyDescent="0.25">
      <c r="A948" s="7">
        <v>29151</v>
      </c>
      <c r="B948" s="7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 t="s">
        <v>85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300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</row>
    <row r="949" spans="1:36" x14ac:dyDescent="0.25">
      <c r="A949" s="7">
        <v>29152</v>
      </c>
      <c r="B949" s="7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 t="s">
        <v>85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300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</row>
    <row r="950" spans="1:36" x14ac:dyDescent="0.25">
      <c r="A950" s="7">
        <v>29153</v>
      </c>
      <c r="B950" s="7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 t="s">
        <v>85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300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</row>
    <row r="951" spans="1:36" x14ac:dyDescent="0.25">
      <c r="A951" s="7">
        <v>29154</v>
      </c>
      <c r="B951" s="7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 t="s">
        <v>85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300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</row>
    <row r="952" spans="1:36" x14ac:dyDescent="0.25">
      <c r="A952" s="7">
        <v>29155</v>
      </c>
      <c r="B952" s="7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 t="s">
        <v>85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300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</row>
    <row r="953" spans="1:36" x14ac:dyDescent="0.25">
      <c r="A953" s="7">
        <v>29156</v>
      </c>
      <c r="B953" s="7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 t="s">
        <v>85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300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</row>
    <row r="954" spans="1:36" x14ac:dyDescent="0.25">
      <c r="A954" s="7">
        <v>29157</v>
      </c>
      <c r="B954" s="7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 t="s">
        <v>85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300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</row>
    <row r="955" spans="1:36" x14ac:dyDescent="0.25">
      <c r="A955" s="7">
        <v>29158</v>
      </c>
      <c r="B955" s="7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 t="s">
        <v>85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300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</row>
    <row r="956" spans="1:36" x14ac:dyDescent="0.25">
      <c r="A956" s="7">
        <v>29159</v>
      </c>
      <c r="B956" s="7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 t="s">
        <v>85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300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</row>
    <row r="957" spans="1:36" x14ac:dyDescent="0.25">
      <c r="A957" s="7">
        <v>29160</v>
      </c>
      <c r="B957" s="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 t="s">
        <v>85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400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</row>
    <row r="958" spans="1:36" x14ac:dyDescent="0.25">
      <c r="A958" s="7">
        <v>29400</v>
      </c>
      <c r="B958" s="7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 t="s">
        <v>85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400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</row>
    <row r="959" spans="1:36" x14ac:dyDescent="0.25">
      <c r="A959" s="7">
        <v>29401</v>
      </c>
      <c r="B959" s="7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 t="s">
        <v>85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400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</row>
    <row r="960" spans="1:36" x14ac:dyDescent="0.25">
      <c r="A960" s="7">
        <v>29402</v>
      </c>
      <c r="B960" s="7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 t="s">
        <v>85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400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</row>
    <row r="961" spans="1:36" x14ac:dyDescent="0.25">
      <c r="A961" s="7">
        <v>29403</v>
      </c>
      <c r="B961" s="7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 t="s">
        <v>85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400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</row>
    <row r="962" spans="1:36" x14ac:dyDescent="0.25">
      <c r="A962" s="7">
        <v>29404</v>
      </c>
      <c r="B962" s="7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 t="s">
        <v>85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400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</row>
    <row r="963" spans="1:36" x14ac:dyDescent="0.25">
      <c r="A963" s="7">
        <v>29405</v>
      </c>
      <c r="B963" s="7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 t="s">
        <v>85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400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</row>
    <row r="964" spans="1:36" x14ac:dyDescent="0.25">
      <c r="A964" s="7">
        <v>29406</v>
      </c>
      <c r="B964" s="7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 t="s">
        <v>85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400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</row>
    <row r="965" spans="1:36" x14ac:dyDescent="0.25">
      <c r="A965" s="7">
        <v>29407</v>
      </c>
      <c r="B965" s="7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 t="s">
        <v>85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400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</row>
    <row r="966" spans="1:36" x14ac:dyDescent="0.25">
      <c r="A966" s="7">
        <v>29408</v>
      </c>
      <c r="B966" s="7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 t="s">
        <v>85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400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</row>
    <row r="967" spans="1:36" x14ac:dyDescent="0.25">
      <c r="A967" s="7">
        <v>29409</v>
      </c>
      <c r="B967" s="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 t="s">
        <v>85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500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</row>
    <row r="968" spans="1:36" x14ac:dyDescent="0.25">
      <c r="A968" s="7">
        <v>29410</v>
      </c>
      <c r="B968" s="7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 t="s">
        <v>85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500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</row>
    <row r="969" spans="1:36" x14ac:dyDescent="0.25">
      <c r="A969" s="7">
        <v>29411</v>
      </c>
      <c r="B969" s="7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 t="s">
        <v>85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500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</row>
    <row r="970" spans="1:36" x14ac:dyDescent="0.25">
      <c r="A970" s="7">
        <v>29412</v>
      </c>
      <c r="B970" s="7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 t="s">
        <v>85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500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</row>
    <row r="971" spans="1:36" x14ac:dyDescent="0.25">
      <c r="A971" s="7">
        <v>29413</v>
      </c>
      <c r="B971" s="7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 t="s">
        <v>85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500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</row>
    <row r="972" spans="1:36" x14ac:dyDescent="0.25">
      <c r="A972" s="7">
        <v>29414</v>
      </c>
      <c r="B972" s="7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 t="s">
        <v>85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500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</row>
    <row r="973" spans="1:36" x14ac:dyDescent="0.25">
      <c r="A973" s="7">
        <v>29415</v>
      </c>
      <c r="B973" s="7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 t="s">
        <v>85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500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</row>
    <row r="974" spans="1:36" x14ac:dyDescent="0.25">
      <c r="A974" s="7">
        <v>29416</v>
      </c>
      <c r="B974" s="7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 t="s">
        <v>85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500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</row>
    <row r="975" spans="1:36" x14ac:dyDescent="0.25">
      <c r="A975" s="7">
        <v>29417</v>
      </c>
      <c r="B975" s="7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 t="s">
        <v>85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500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</row>
    <row r="976" spans="1:36" x14ac:dyDescent="0.25">
      <c r="A976" s="7">
        <v>29418</v>
      </c>
      <c r="B976" s="7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 t="s">
        <v>85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500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</row>
    <row r="977" spans="1:36" x14ac:dyDescent="0.25">
      <c r="A977" s="7">
        <v>29419</v>
      </c>
      <c r="B977" s="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 t="s">
        <v>85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600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</row>
    <row r="978" spans="1:36" x14ac:dyDescent="0.25">
      <c r="A978" s="7">
        <v>29420</v>
      </c>
      <c r="B978" s="7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 t="s">
        <v>85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600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</row>
    <row r="979" spans="1:36" x14ac:dyDescent="0.25">
      <c r="A979" s="7">
        <v>29421</v>
      </c>
      <c r="B979" s="7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 t="s">
        <v>85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600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</row>
    <row r="980" spans="1:36" x14ac:dyDescent="0.25">
      <c r="A980" s="7">
        <v>29422</v>
      </c>
      <c r="B980" s="7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 t="s">
        <v>85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600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</row>
    <row r="981" spans="1:36" x14ac:dyDescent="0.25">
      <c r="A981" s="7">
        <v>29423</v>
      </c>
      <c r="B981" s="7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 t="s">
        <v>85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600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</row>
    <row r="982" spans="1:36" x14ac:dyDescent="0.25">
      <c r="A982" s="7">
        <v>29424</v>
      </c>
      <c r="B982" s="7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 t="s">
        <v>85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600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</row>
    <row r="983" spans="1:36" x14ac:dyDescent="0.25">
      <c r="A983" s="7">
        <v>29425</v>
      </c>
      <c r="B983" s="7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 t="s">
        <v>85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600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</row>
    <row r="984" spans="1:36" x14ac:dyDescent="0.25">
      <c r="A984" s="7">
        <v>29426</v>
      </c>
      <c r="B984" s="7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 t="s">
        <v>85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600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</row>
    <row r="985" spans="1:36" x14ac:dyDescent="0.25">
      <c r="A985" s="7">
        <v>29427</v>
      </c>
      <c r="B985" s="7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 t="s">
        <v>85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600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</row>
    <row r="986" spans="1:36" x14ac:dyDescent="0.25">
      <c r="A986" s="7">
        <v>29428</v>
      </c>
      <c r="B986" s="7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 t="s">
        <v>85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600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</row>
    <row r="987" spans="1:36" x14ac:dyDescent="0.25">
      <c r="A987" s="7">
        <v>29429</v>
      </c>
      <c r="B987" s="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 t="s">
        <v>85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700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</row>
    <row r="988" spans="1:36" x14ac:dyDescent="0.25">
      <c r="A988" s="7">
        <v>29430</v>
      </c>
      <c r="B988" s="7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 t="s">
        <v>85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700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</row>
    <row r="989" spans="1:36" x14ac:dyDescent="0.25">
      <c r="A989" s="7">
        <v>29431</v>
      </c>
      <c r="B989" s="7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 t="s">
        <v>85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700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</row>
    <row r="990" spans="1:36" x14ac:dyDescent="0.25">
      <c r="A990" s="7">
        <v>29432</v>
      </c>
      <c r="B990" s="7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 t="s">
        <v>85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700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</row>
    <row r="991" spans="1:36" x14ac:dyDescent="0.25">
      <c r="A991" s="7">
        <v>29433</v>
      </c>
      <c r="B991" s="7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 t="s">
        <v>85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700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</row>
    <row r="992" spans="1:36" x14ac:dyDescent="0.25">
      <c r="A992" s="7">
        <v>29434</v>
      </c>
      <c r="B992" s="7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 t="s">
        <v>85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700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</row>
    <row r="993" spans="1:36" x14ac:dyDescent="0.25">
      <c r="A993" s="7">
        <v>29435</v>
      </c>
      <c r="B993" s="7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 t="s">
        <v>85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700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</row>
    <row r="994" spans="1:36" x14ac:dyDescent="0.25">
      <c r="A994" s="7">
        <v>29436</v>
      </c>
      <c r="B994" s="7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 t="s">
        <v>85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700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</row>
    <row r="995" spans="1:36" x14ac:dyDescent="0.25">
      <c r="A995" s="7">
        <v>29437</v>
      </c>
      <c r="B995" s="7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 t="s">
        <v>85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700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</row>
    <row r="996" spans="1:36" x14ac:dyDescent="0.25">
      <c r="A996" s="7">
        <v>29438</v>
      </c>
      <c r="B996" s="7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 t="s">
        <v>85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700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</row>
    <row r="997" spans="1:36" x14ac:dyDescent="0.25">
      <c r="A997" s="7">
        <v>29439</v>
      </c>
      <c r="B997" s="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 t="s">
        <v>85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800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</row>
    <row r="998" spans="1:36" x14ac:dyDescent="0.25">
      <c r="A998" s="7">
        <v>29440</v>
      </c>
      <c r="B998" s="7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 t="s">
        <v>85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800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</row>
    <row r="999" spans="1:36" x14ac:dyDescent="0.25">
      <c r="A999" s="7">
        <v>29441</v>
      </c>
      <c r="B999" s="7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 t="s">
        <v>85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800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</row>
    <row r="1000" spans="1:36" x14ac:dyDescent="0.25">
      <c r="A1000" s="7">
        <v>29442</v>
      </c>
      <c r="B1000" s="7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 t="s">
        <v>85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800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</row>
    <row r="1001" spans="1:36" x14ac:dyDescent="0.25">
      <c r="A1001" s="7">
        <v>29443</v>
      </c>
      <c r="B1001" s="7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 t="s">
        <v>85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800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</row>
    <row r="1002" spans="1:36" x14ac:dyDescent="0.25">
      <c r="A1002" s="7">
        <v>29444</v>
      </c>
      <c r="B1002" s="7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 t="s">
        <v>85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800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</row>
    <row r="1003" spans="1:36" x14ac:dyDescent="0.25">
      <c r="A1003" s="7">
        <v>29445</v>
      </c>
      <c r="B1003" s="7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 t="s">
        <v>85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800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</row>
    <row r="1004" spans="1:36" x14ac:dyDescent="0.25">
      <c r="A1004" s="7">
        <v>29446</v>
      </c>
      <c r="B1004" s="7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 t="s">
        <v>85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800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</row>
    <row r="1005" spans="1:36" x14ac:dyDescent="0.25">
      <c r="A1005" s="7">
        <v>29447</v>
      </c>
      <c r="B1005" s="7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 t="s">
        <v>85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800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</row>
    <row r="1006" spans="1:36" x14ac:dyDescent="0.25">
      <c r="A1006" s="7">
        <v>29448</v>
      </c>
      <c r="B1006" s="7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 t="s">
        <v>85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800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</row>
    <row r="1007" spans="1:36" x14ac:dyDescent="0.25">
      <c r="A1007" s="7">
        <v>29449</v>
      </c>
      <c r="B1007" s="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 t="s">
        <v>85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900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</row>
    <row r="1008" spans="1:36" x14ac:dyDescent="0.25">
      <c r="A1008" s="7">
        <v>29450</v>
      </c>
      <c r="B1008" s="7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 t="s">
        <v>85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900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</row>
    <row r="1009" spans="1:36" x14ac:dyDescent="0.25">
      <c r="A1009" s="7">
        <v>29451</v>
      </c>
      <c r="B1009" s="7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 t="s">
        <v>85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900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</row>
    <row r="1010" spans="1:36" x14ac:dyDescent="0.25">
      <c r="A1010" s="7">
        <v>29452</v>
      </c>
      <c r="B1010" s="7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 t="s">
        <v>85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900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</row>
    <row r="1011" spans="1:36" x14ac:dyDescent="0.25">
      <c r="A1011" s="7">
        <v>29453</v>
      </c>
      <c r="B1011" s="7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 t="s">
        <v>85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900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</row>
    <row r="1012" spans="1:36" x14ac:dyDescent="0.25">
      <c r="A1012" s="7">
        <v>29454</v>
      </c>
      <c r="B1012" s="7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 t="s">
        <v>85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900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</row>
    <row r="1013" spans="1:36" x14ac:dyDescent="0.25">
      <c r="A1013" s="7">
        <v>29455</v>
      </c>
      <c r="B1013" s="7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 t="s">
        <v>85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900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</row>
    <row r="1014" spans="1:36" x14ac:dyDescent="0.25">
      <c r="A1014" s="7">
        <v>29456</v>
      </c>
      <c r="B1014" s="7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 t="s">
        <v>85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900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</row>
    <row r="1015" spans="1:36" x14ac:dyDescent="0.25">
      <c r="A1015" s="7">
        <v>29457</v>
      </c>
      <c r="B1015" s="7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 t="s">
        <v>85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900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</row>
    <row r="1016" spans="1:36" x14ac:dyDescent="0.25">
      <c r="A1016" s="7">
        <v>29458</v>
      </c>
      <c r="B1016" s="7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 t="s">
        <v>85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900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</row>
    <row r="1017" spans="1:36" ht="15.5" thickBot="1" x14ac:dyDescent="0.3">
      <c r="A1017" s="7">
        <v>29459</v>
      </c>
      <c r="B1017" s="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 t="s">
        <v>85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900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</row>
    <row r="1018" spans="1:36" ht="15.5" thickBot="1" x14ac:dyDescent="0.3">
      <c r="A1018" s="8">
        <v>63000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 t="s">
        <v>85</v>
      </c>
      <c r="K1018">
        <v>0</v>
      </c>
      <c r="L1018" s="13">
        <v>3</v>
      </c>
      <c r="M1018" s="13">
        <v>3</v>
      </c>
      <c r="N1018" s="13">
        <v>0</v>
      </c>
      <c r="O1018" s="13">
        <v>0</v>
      </c>
      <c r="P1018" s="13">
        <v>8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</row>
    <row r="1019" spans="1:36" ht="15.5" thickBot="1" x14ac:dyDescent="0.3">
      <c r="A1019" s="9">
        <v>63001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 t="s">
        <v>85</v>
      </c>
      <c r="K1019">
        <v>0</v>
      </c>
      <c r="L1019" s="13">
        <v>4</v>
      </c>
      <c r="M1019" s="13">
        <v>4</v>
      </c>
      <c r="N1019" s="13">
        <v>2</v>
      </c>
      <c r="O1019" s="13">
        <v>2</v>
      </c>
      <c r="P1019" s="13">
        <v>12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</row>
    <row r="1020" spans="1:36" ht="15.5" thickBot="1" x14ac:dyDescent="0.3">
      <c r="A1020" s="10">
        <v>63002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 t="s">
        <v>85</v>
      </c>
      <c r="K1020">
        <v>0</v>
      </c>
      <c r="L1020" s="13">
        <v>2</v>
      </c>
      <c r="M1020" s="13">
        <v>2</v>
      </c>
      <c r="N1020" s="13">
        <v>3</v>
      </c>
      <c r="O1020" s="13">
        <v>3</v>
      </c>
      <c r="P1020" s="13">
        <v>22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</row>
    <row r="1021" spans="1:36" ht="15.5" thickBot="1" x14ac:dyDescent="0.3">
      <c r="A1021" s="9">
        <v>63003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 t="s">
        <v>85</v>
      </c>
      <c r="K1021">
        <v>0</v>
      </c>
      <c r="L1021" s="13">
        <v>10</v>
      </c>
      <c r="M1021" s="13">
        <v>10</v>
      </c>
      <c r="N1021" s="13">
        <v>5</v>
      </c>
      <c r="O1021" s="13">
        <v>5</v>
      </c>
      <c r="P1021" s="13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</row>
    <row r="1022" spans="1:36" ht="15.5" thickBot="1" x14ac:dyDescent="0.3">
      <c r="A1022" s="10">
        <v>63004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 t="s">
        <v>85</v>
      </c>
      <c r="K1022">
        <v>0</v>
      </c>
      <c r="L1022" s="13">
        <v>4</v>
      </c>
      <c r="M1022" s="13">
        <v>4</v>
      </c>
      <c r="N1022" s="13">
        <v>8</v>
      </c>
      <c r="O1022" s="13">
        <v>8</v>
      </c>
      <c r="P1022" s="13">
        <v>38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</row>
    <row r="1023" spans="1:36" ht="15.5" thickBot="1" x14ac:dyDescent="0.3">
      <c r="A1023" s="9">
        <v>63005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 t="s">
        <v>85</v>
      </c>
      <c r="K1023">
        <v>0</v>
      </c>
      <c r="L1023" s="13">
        <v>8</v>
      </c>
      <c r="M1023" s="13">
        <v>8</v>
      </c>
      <c r="N1023" s="13">
        <v>8</v>
      </c>
      <c r="O1023" s="13">
        <v>8</v>
      </c>
      <c r="P1023" s="13">
        <v>18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</row>
    <row r="1024" spans="1:36" ht="15.5" thickBot="1" x14ac:dyDescent="0.3">
      <c r="A1024" s="10">
        <v>63006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 t="s">
        <v>85</v>
      </c>
      <c r="K1024">
        <v>0</v>
      </c>
      <c r="L1024" s="13">
        <v>0</v>
      </c>
      <c r="M1024" s="13">
        <v>0</v>
      </c>
      <c r="N1024" s="13">
        <v>15</v>
      </c>
      <c r="O1024" s="13">
        <v>15</v>
      </c>
      <c r="P1024" s="13">
        <v>120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</row>
    <row r="1025" spans="1:36" ht="15.5" thickBot="1" x14ac:dyDescent="0.3">
      <c r="A1025" s="9">
        <v>63007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 t="s">
        <v>85</v>
      </c>
      <c r="K1025">
        <v>0</v>
      </c>
      <c r="L1025" s="13">
        <v>22</v>
      </c>
      <c r="M1025" s="13">
        <v>22</v>
      </c>
      <c r="N1025" s="13">
        <v>0</v>
      </c>
      <c r="O1025" s="13">
        <v>0</v>
      </c>
      <c r="P1025" s="13">
        <v>105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</row>
    <row r="1026" spans="1:36" ht="15.5" thickBot="1" x14ac:dyDescent="0.3">
      <c r="A1026" s="10">
        <v>63008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 t="s">
        <v>85</v>
      </c>
      <c r="K1026">
        <v>0</v>
      </c>
      <c r="L1026" s="13">
        <v>18</v>
      </c>
      <c r="M1026" s="13">
        <v>18</v>
      </c>
      <c r="N1026" s="13">
        <v>12</v>
      </c>
      <c r="O1026" s="13">
        <v>12</v>
      </c>
      <c r="P1026" s="13">
        <v>60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</row>
    <row r="1027" spans="1:36" ht="15.5" thickBot="1" x14ac:dyDescent="0.3">
      <c r="A1027" s="9">
        <v>63009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 t="s">
        <v>85</v>
      </c>
      <c r="K1027">
        <v>0</v>
      </c>
      <c r="L1027" s="13">
        <v>45</v>
      </c>
      <c r="M1027" s="13">
        <v>45</v>
      </c>
      <c r="N1027" s="13">
        <v>25</v>
      </c>
      <c r="O1027" s="13">
        <v>25</v>
      </c>
      <c r="P1027" s="13">
        <v>120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</row>
    <row r="1028" spans="1:36" ht="15.5" thickBot="1" x14ac:dyDescent="0.3">
      <c r="A1028" s="10">
        <v>63010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 t="s">
        <v>85</v>
      </c>
      <c r="K1028">
        <v>0</v>
      </c>
      <c r="L1028" s="13">
        <v>15</v>
      </c>
      <c r="M1028" s="13">
        <v>15</v>
      </c>
      <c r="N1028" s="13">
        <v>30</v>
      </c>
      <c r="O1028" s="13">
        <v>30</v>
      </c>
      <c r="P1028" s="13">
        <v>225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</row>
    <row r="1029" spans="1:36" ht="15.5" thickBot="1" x14ac:dyDescent="0.3">
      <c r="A1029" s="9">
        <v>63011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 t="s">
        <v>85</v>
      </c>
      <c r="K1029">
        <v>0</v>
      </c>
      <c r="L1029" s="13">
        <v>35</v>
      </c>
      <c r="M1029" s="13">
        <v>35</v>
      </c>
      <c r="N1029" s="13">
        <v>28</v>
      </c>
      <c r="O1029" s="13">
        <v>28</v>
      </c>
      <c r="P1029" s="13">
        <v>150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</row>
    <row r="1030" spans="1:36" ht="15.5" thickBot="1" x14ac:dyDescent="0.3">
      <c r="A1030" s="10">
        <v>63012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 t="s">
        <v>85</v>
      </c>
      <c r="K1030">
        <v>0</v>
      </c>
      <c r="L1030" s="13">
        <v>90</v>
      </c>
      <c r="M1030" s="13">
        <v>90</v>
      </c>
      <c r="N1030" s="13">
        <v>50</v>
      </c>
      <c r="O1030" s="13">
        <v>50</v>
      </c>
      <c r="P1030" s="13">
        <v>225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</row>
    <row r="1031" spans="1:36" ht="15.5" thickBot="1" x14ac:dyDescent="0.3">
      <c r="A1031" s="9">
        <v>63013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 t="s">
        <v>85</v>
      </c>
      <c r="K1031">
        <v>0</v>
      </c>
      <c r="L1031" s="13">
        <v>65</v>
      </c>
      <c r="M1031" s="13">
        <v>65</v>
      </c>
      <c r="N1031" s="13">
        <v>70</v>
      </c>
      <c r="O1031" s="13">
        <v>70</v>
      </c>
      <c r="P1031" s="13">
        <v>420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</row>
    <row r="1032" spans="1:36" ht="15.5" thickBot="1" x14ac:dyDescent="0.3">
      <c r="A1032" s="10">
        <v>63014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 t="s">
        <v>85</v>
      </c>
      <c r="K1032">
        <v>0</v>
      </c>
      <c r="L1032" s="13">
        <v>80</v>
      </c>
      <c r="M1032" s="13">
        <v>80</v>
      </c>
      <c r="N1032" s="13">
        <v>60</v>
      </c>
      <c r="O1032" s="13">
        <v>60</v>
      </c>
      <c r="P1032" s="13">
        <v>450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</row>
    <row r="1033" spans="1:36" ht="15.5" thickBot="1" x14ac:dyDescent="0.3">
      <c r="A1033" s="9">
        <v>63015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 t="s">
        <v>85</v>
      </c>
      <c r="K1033">
        <v>0</v>
      </c>
      <c r="L1033" s="1">
        <v>200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</row>
    <row r="1034" spans="1:36" ht="15.5" thickBot="1" x14ac:dyDescent="0.3">
      <c r="A1034" s="10">
        <v>63016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 t="s">
        <v>85</v>
      </c>
      <c r="K1034">
        <v>0</v>
      </c>
      <c r="L1034" s="1">
        <v>0</v>
      </c>
      <c r="M1034">
        <v>200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</row>
    <row r="1035" spans="1:36" ht="15.5" thickBot="1" x14ac:dyDescent="0.3">
      <c r="A1035" s="9">
        <v>63017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 t="s">
        <v>85</v>
      </c>
      <c r="K1035">
        <v>0</v>
      </c>
      <c r="L1035" s="1">
        <v>0</v>
      </c>
      <c r="M1035">
        <v>0</v>
      </c>
      <c r="N1035">
        <v>300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</row>
    <row r="1036" spans="1:36" ht="15.5" thickBot="1" x14ac:dyDescent="0.3">
      <c r="A1036" s="10">
        <v>63018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 t="s">
        <v>85</v>
      </c>
      <c r="K1036">
        <v>0</v>
      </c>
      <c r="L1036" s="1">
        <v>0</v>
      </c>
      <c r="M1036">
        <v>0</v>
      </c>
      <c r="N1036">
        <v>0</v>
      </c>
      <c r="O1036">
        <v>300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</row>
    <row r="1037" spans="1:36" ht="15.5" thickBot="1" x14ac:dyDescent="0.3">
      <c r="A1037" s="9">
        <v>63019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 t="s">
        <v>85</v>
      </c>
      <c r="K1037">
        <v>0</v>
      </c>
      <c r="L1037" s="1">
        <v>0</v>
      </c>
      <c r="M1037">
        <v>0</v>
      </c>
      <c r="N1037">
        <v>0</v>
      </c>
      <c r="O1037">
        <v>0</v>
      </c>
      <c r="P1037">
        <v>1500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</row>
    <row r="1038" spans="1:36" x14ac:dyDescent="0.25">
      <c r="A1038">
        <v>42003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 t="s">
        <v>85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500</v>
      </c>
      <c r="R1038">
        <v>500</v>
      </c>
      <c r="S1038">
        <v>500</v>
      </c>
      <c r="T1038">
        <v>500</v>
      </c>
      <c r="U1038">
        <v>500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</row>
    <row r="1039" spans="1:36" x14ac:dyDescent="0.25">
      <c r="A1039">
        <v>42021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 t="s">
        <v>85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500</v>
      </c>
      <c r="R1039">
        <v>500</v>
      </c>
      <c r="S1039">
        <v>500</v>
      </c>
      <c r="T1039">
        <v>500</v>
      </c>
      <c r="U1039">
        <v>500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</row>
    <row r="1040" spans="1:36" x14ac:dyDescent="0.25">
      <c r="A1040">
        <v>42017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 t="s">
        <v>85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500</v>
      </c>
      <c r="R1040">
        <v>500</v>
      </c>
      <c r="S1040">
        <v>500</v>
      </c>
      <c r="T1040">
        <v>500</v>
      </c>
      <c r="U1040">
        <v>500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</row>
    <row r="1041" spans="1:36" x14ac:dyDescent="0.25">
      <c r="A1041">
        <v>42002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 t="s">
        <v>85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500</v>
      </c>
      <c r="R1041">
        <v>500</v>
      </c>
      <c r="S1041">
        <v>500</v>
      </c>
      <c r="T1041">
        <v>500</v>
      </c>
      <c r="U1041">
        <v>500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</row>
    <row r="1042" spans="1:36" x14ac:dyDescent="0.25">
      <c r="A1042">
        <v>42001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 t="s">
        <v>85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500</v>
      </c>
      <c r="R1042">
        <v>500</v>
      </c>
      <c r="S1042">
        <v>500</v>
      </c>
      <c r="T1042">
        <v>500</v>
      </c>
      <c r="U1042">
        <v>500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</row>
    <row r="1043" spans="1:36" x14ac:dyDescent="0.25">
      <c r="A1043">
        <v>42016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 t="s">
        <v>85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500</v>
      </c>
      <c r="R1043">
        <v>500</v>
      </c>
      <c r="S1043">
        <v>500</v>
      </c>
      <c r="T1043">
        <v>500</v>
      </c>
      <c r="U1043">
        <v>500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</row>
    <row r="1044" spans="1:36" x14ac:dyDescent="0.25">
      <c r="A1044">
        <v>42020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 t="s">
        <v>85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500</v>
      </c>
      <c r="R1044">
        <v>500</v>
      </c>
      <c r="S1044">
        <v>500</v>
      </c>
      <c r="T1044">
        <v>500</v>
      </c>
      <c r="U1044">
        <v>500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</row>
    <row r="1045" spans="1:36" x14ac:dyDescent="0.25">
      <c r="A1045" s="12">
        <v>63044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 t="s">
        <v>85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114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</row>
    <row r="1046" spans="1:36" x14ac:dyDescent="0.25">
      <c r="A1046" s="12">
        <v>63050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 t="s">
        <v>85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300</v>
      </c>
      <c r="R1046">
        <v>300</v>
      </c>
      <c r="S1046">
        <v>300</v>
      </c>
      <c r="T1046">
        <v>300</v>
      </c>
      <c r="U1046">
        <v>300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</row>
    <row r="1047" spans="1:36" x14ac:dyDescent="0.25">
      <c r="A1047" s="12">
        <v>63051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 t="s">
        <v>85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</row>
    <row r="1048" spans="1:36" x14ac:dyDescent="0.25">
      <c r="A1048" s="12">
        <v>63052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 t="s">
        <v>85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</row>
    <row r="1049" spans="1:36" x14ac:dyDescent="0.25">
      <c r="A1049">
        <v>63053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 t="s">
        <v>85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</row>
    <row r="1050" spans="1:36" x14ac:dyDescent="0.25">
      <c r="A1050" s="14">
        <v>63342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 t="s">
        <v>85</v>
      </c>
      <c r="K1050">
        <v>0</v>
      </c>
      <c r="L1050">
        <v>0</v>
      </c>
      <c r="M1050">
        <v>0</v>
      </c>
      <c r="N1050">
        <v>220</v>
      </c>
      <c r="O1050">
        <v>220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</row>
    <row r="1051" spans="1:36" x14ac:dyDescent="0.25">
      <c r="A1051" s="14">
        <v>63343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 t="s">
        <v>85</v>
      </c>
      <c r="K1051">
        <v>0</v>
      </c>
      <c r="L1051">
        <v>280</v>
      </c>
      <c r="M1051">
        <v>280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</row>
    <row r="1052" spans="1:36" x14ac:dyDescent="0.25">
      <c r="A1052" s="12">
        <v>55613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 t="s">
        <v>85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1000</v>
      </c>
      <c r="R1052">
        <v>1000</v>
      </c>
      <c r="S1052">
        <v>1000</v>
      </c>
      <c r="T1052">
        <v>1000</v>
      </c>
      <c r="U1052">
        <v>1000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</row>
    <row r="1053" spans="1:36" x14ac:dyDescent="0.25">
      <c r="A1053" s="12">
        <v>55614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 t="s">
        <v>85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1000</v>
      </c>
      <c r="R1053">
        <v>1000</v>
      </c>
      <c r="S1053">
        <v>1000</v>
      </c>
      <c r="T1053">
        <v>1000</v>
      </c>
      <c r="U1053">
        <v>1000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</row>
    <row r="1054" spans="1:36" x14ac:dyDescent="0.25">
      <c r="A1054" s="14">
        <v>63364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 t="s">
        <v>85</v>
      </c>
      <c r="K1054">
        <v>0</v>
      </c>
      <c r="L1054">
        <v>340</v>
      </c>
      <c r="M1054">
        <v>340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</row>
    <row r="1055" spans="1:36" x14ac:dyDescent="0.25">
      <c r="A1055" s="14">
        <v>63365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 t="s">
        <v>85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400</v>
      </c>
      <c r="R1055">
        <v>400</v>
      </c>
      <c r="S1055">
        <v>400</v>
      </c>
      <c r="T1055">
        <v>400</v>
      </c>
      <c r="U1055">
        <v>400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</row>
    <row r="1056" spans="1:36" x14ac:dyDescent="0.25">
      <c r="A1056" s="14">
        <v>63374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 t="s">
        <v>85</v>
      </c>
      <c r="K1056">
        <v>0</v>
      </c>
      <c r="L1056">
        <v>200</v>
      </c>
      <c r="M1056">
        <v>200</v>
      </c>
      <c r="N1056">
        <v>200</v>
      </c>
      <c r="O1056">
        <v>200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</row>
    <row r="1057" spans="1:36" x14ac:dyDescent="0.25">
      <c r="A1057">
        <v>27208</v>
      </c>
      <c r="B1057">
        <v>0</v>
      </c>
      <c r="C1057" s="5">
        <v>9600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 t="s">
        <v>83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</row>
    <row r="1058" spans="1:36" x14ac:dyDescent="0.25">
      <c r="A1058">
        <v>27209</v>
      </c>
      <c r="B1058">
        <v>0</v>
      </c>
      <c r="C1058" s="5">
        <v>19200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 t="s">
        <v>83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</row>
    <row r="1059" spans="1:36" x14ac:dyDescent="0.25">
      <c r="A1059">
        <v>27218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 s="5">
        <v>1920</v>
      </c>
      <c r="I1059">
        <v>0</v>
      </c>
      <c r="J1059" t="s">
        <v>83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</row>
    <row r="1060" spans="1:36" x14ac:dyDescent="0.25">
      <c r="A1060">
        <v>27219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 s="5">
        <v>3840</v>
      </c>
      <c r="I1060">
        <v>0</v>
      </c>
      <c r="J1060" t="s">
        <v>83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</row>
    <row r="1061" spans="1:36" x14ac:dyDescent="0.25">
      <c r="A1061">
        <v>27228</v>
      </c>
      <c r="B1061">
        <v>0</v>
      </c>
      <c r="C1061">
        <v>0</v>
      </c>
      <c r="D1061" s="5">
        <v>3840</v>
      </c>
      <c r="E1061">
        <v>0</v>
      </c>
      <c r="F1061">
        <v>0</v>
      </c>
      <c r="G1061">
        <v>0</v>
      </c>
      <c r="H1061">
        <v>0</v>
      </c>
      <c r="I1061">
        <v>0</v>
      </c>
      <c r="J1061" t="s">
        <v>83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</row>
    <row r="1062" spans="1:36" x14ac:dyDescent="0.25">
      <c r="A1062">
        <v>27229</v>
      </c>
      <c r="B1062">
        <v>0</v>
      </c>
      <c r="C1062">
        <v>0</v>
      </c>
      <c r="D1062" s="5">
        <v>7680</v>
      </c>
      <c r="E1062">
        <v>0</v>
      </c>
      <c r="F1062">
        <v>0</v>
      </c>
      <c r="G1062">
        <v>0</v>
      </c>
      <c r="H1062">
        <v>0</v>
      </c>
      <c r="I1062">
        <v>0</v>
      </c>
      <c r="J1062" t="s">
        <v>83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</row>
    <row r="1063" spans="1:36" x14ac:dyDescent="0.25">
      <c r="A1063">
        <v>27238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 s="5">
        <v>1920</v>
      </c>
      <c r="J1063" t="s">
        <v>83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</row>
    <row r="1064" spans="1:36" x14ac:dyDescent="0.25">
      <c r="A1064">
        <v>27239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 s="5">
        <v>3840</v>
      </c>
      <c r="J1064" t="s">
        <v>83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</row>
    <row r="1065" spans="1:36" x14ac:dyDescent="0.25">
      <c r="A1065">
        <v>27248</v>
      </c>
      <c r="B1065">
        <v>0</v>
      </c>
      <c r="C1065">
        <v>0</v>
      </c>
      <c r="D1065" s="5">
        <v>3840</v>
      </c>
      <c r="E1065">
        <v>0</v>
      </c>
      <c r="F1065">
        <v>0</v>
      </c>
      <c r="G1065">
        <v>0</v>
      </c>
      <c r="H1065">
        <v>0</v>
      </c>
      <c r="I1065">
        <v>0</v>
      </c>
      <c r="J1065" t="s">
        <v>83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</row>
    <row r="1066" spans="1:36" x14ac:dyDescent="0.25">
      <c r="A1066">
        <v>27249</v>
      </c>
      <c r="B1066">
        <v>0</v>
      </c>
      <c r="C1066">
        <v>0</v>
      </c>
      <c r="D1066" s="5">
        <v>7680</v>
      </c>
      <c r="E1066">
        <v>0</v>
      </c>
      <c r="F1066">
        <v>0</v>
      </c>
      <c r="G1066">
        <v>0</v>
      </c>
      <c r="H1066">
        <v>0</v>
      </c>
      <c r="I1066">
        <v>0</v>
      </c>
      <c r="J1066" t="s">
        <v>83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</row>
  </sheetData>
  <phoneticPr fontId="2" type="noConversion"/>
  <conditionalFormatting sqref="A888:A895">
    <cfRule type="duplicateValues" dxfId="1991" priority="1992"/>
  </conditionalFormatting>
  <conditionalFormatting sqref="A888:A895">
    <cfRule type="duplicateValues" dxfId="1990" priority="1991"/>
  </conditionalFormatting>
  <conditionalFormatting sqref="A888:A895">
    <cfRule type="duplicateValues" dxfId="1989" priority="1989"/>
    <cfRule type="duplicateValues" dxfId="1988" priority="1990"/>
  </conditionalFormatting>
  <conditionalFormatting sqref="A888:A895">
    <cfRule type="duplicateValues" dxfId="1987" priority="1988"/>
  </conditionalFormatting>
  <conditionalFormatting sqref="A888:A895">
    <cfRule type="duplicateValues" dxfId="1986" priority="1987"/>
  </conditionalFormatting>
  <conditionalFormatting sqref="A888:A895">
    <cfRule type="duplicateValues" dxfId="1985" priority="1986"/>
  </conditionalFormatting>
  <conditionalFormatting sqref="A888:A895">
    <cfRule type="duplicateValues" dxfId="1984" priority="1984"/>
    <cfRule type="duplicateValues" dxfId="1983" priority="1985"/>
  </conditionalFormatting>
  <conditionalFormatting sqref="A888:A895">
    <cfRule type="duplicateValues" dxfId="1982" priority="1983"/>
  </conditionalFormatting>
  <conditionalFormatting sqref="A888:A895">
    <cfRule type="duplicateValues" dxfId="1981" priority="1982"/>
  </conditionalFormatting>
  <conditionalFormatting sqref="A888:A895">
    <cfRule type="duplicateValues" dxfId="1980" priority="1980"/>
    <cfRule type="duplicateValues" dxfId="1979" priority="1981"/>
  </conditionalFormatting>
  <conditionalFormatting sqref="A888:A895">
    <cfRule type="duplicateValues" dxfId="1978" priority="1979"/>
  </conditionalFormatting>
  <conditionalFormatting sqref="A888:A895">
    <cfRule type="duplicateValues" dxfId="1977" priority="1978"/>
  </conditionalFormatting>
  <conditionalFormatting sqref="A888:A895">
    <cfRule type="duplicateValues" dxfId="1976" priority="1977"/>
  </conditionalFormatting>
  <conditionalFormatting sqref="A888:A895">
    <cfRule type="duplicateValues" dxfId="1975" priority="1976"/>
  </conditionalFormatting>
  <conditionalFormatting sqref="A888:A895">
    <cfRule type="duplicateValues" dxfId="1974" priority="1974"/>
    <cfRule type="duplicateValues" dxfId="1973" priority="1975"/>
  </conditionalFormatting>
  <conditionalFormatting sqref="A888:A895">
    <cfRule type="duplicateValues" dxfId="1972" priority="1973"/>
  </conditionalFormatting>
  <conditionalFormatting sqref="A888:A895">
    <cfRule type="duplicateValues" dxfId="1971" priority="1972"/>
  </conditionalFormatting>
  <conditionalFormatting sqref="A888:A895">
    <cfRule type="duplicateValues" dxfId="1970" priority="1971"/>
  </conditionalFormatting>
  <conditionalFormatting sqref="A888:A895">
    <cfRule type="duplicateValues" dxfId="1969" priority="1968"/>
    <cfRule type="duplicateValues" dxfId="1968" priority="1969"/>
    <cfRule type="duplicateValues" dxfId="1967" priority="1970"/>
  </conditionalFormatting>
  <conditionalFormatting sqref="A888:A895">
    <cfRule type="duplicateValues" dxfId="1966" priority="1967"/>
  </conditionalFormatting>
  <conditionalFormatting sqref="A888:A895">
    <cfRule type="duplicateValues" dxfId="1965" priority="1966"/>
  </conditionalFormatting>
  <conditionalFormatting sqref="A888:A895">
    <cfRule type="duplicateValues" dxfId="1964" priority="1965"/>
  </conditionalFormatting>
  <conditionalFormatting sqref="A888:A895">
    <cfRule type="duplicateValues" dxfId="1963" priority="1964"/>
  </conditionalFormatting>
  <conditionalFormatting sqref="A888:A895">
    <cfRule type="duplicateValues" dxfId="1962" priority="1963"/>
  </conditionalFormatting>
  <conditionalFormatting sqref="A888:A895">
    <cfRule type="duplicateValues" dxfId="1961" priority="1962"/>
  </conditionalFormatting>
  <conditionalFormatting sqref="A888:A895">
    <cfRule type="duplicateValues" dxfId="1960" priority="1961" stopIfTrue="1"/>
  </conditionalFormatting>
  <conditionalFormatting sqref="A888:A895">
    <cfRule type="duplicateValues" dxfId="1959" priority="1960" stopIfTrue="1"/>
  </conditionalFormatting>
  <conditionalFormatting sqref="A888:A895">
    <cfRule type="duplicateValues" dxfId="1958" priority="1959" stopIfTrue="1"/>
  </conditionalFormatting>
  <conditionalFormatting sqref="A888:A895">
    <cfRule type="duplicateValues" dxfId="1957" priority="1958" stopIfTrue="1"/>
  </conditionalFormatting>
  <conditionalFormatting sqref="A888:A895">
    <cfRule type="duplicateValues" dxfId="1956" priority="1957" stopIfTrue="1"/>
  </conditionalFormatting>
  <conditionalFormatting sqref="A888:A895">
    <cfRule type="duplicateValues" dxfId="1955" priority="1956" stopIfTrue="1"/>
  </conditionalFormatting>
  <conditionalFormatting sqref="A888:A895">
    <cfRule type="duplicateValues" dxfId="1954" priority="1953" stopIfTrue="1"/>
    <cfRule type="duplicateValues" dxfId="1953" priority="1954" stopIfTrue="1"/>
    <cfRule type="duplicateValues" dxfId="1952" priority="1955" stopIfTrue="1"/>
  </conditionalFormatting>
  <conditionalFormatting sqref="A888:A895">
    <cfRule type="duplicateValues" dxfId="1951" priority="1952" stopIfTrue="1"/>
  </conditionalFormatting>
  <conditionalFormatting sqref="A888:A895">
    <cfRule type="duplicateValues" dxfId="1950" priority="1951" stopIfTrue="1"/>
  </conditionalFormatting>
  <conditionalFormatting sqref="A888:A895">
    <cfRule type="duplicateValues" dxfId="1949" priority="1949" stopIfTrue="1"/>
    <cfRule type="duplicateValues" dxfId="1948" priority="1950" stopIfTrue="1"/>
  </conditionalFormatting>
  <conditionalFormatting sqref="A888:A895">
    <cfRule type="duplicateValues" dxfId="1947" priority="1946" stopIfTrue="1"/>
    <cfRule type="duplicateValues" dxfId="1946" priority="1947" stopIfTrue="1"/>
    <cfRule type="cellIs" dxfId="1945" priority="1948" stopIfTrue="1" operator="equal">
      <formula>25504</formula>
    </cfRule>
  </conditionalFormatting>
  <conditionalFormatting sqref="A888:A895">
    <cfRule type="duplicateValues" dxfId="1944" priority="1945" stopIfTrue="1"/>
  </conditionalFormatting>
  <conditionalFormatting sqref="A888:A895">
    <cfRule type="duplicateValues" dxfId="1943" priority="1943" stopIfTrue="1"/>
    <cfRule type="duplicateValues" dxfId="1942" priority="1944" stopIfTrue="1"/>
  </conditionalFormatting>
  <conditionalFormatting sqref="A888:A895">
    <cfRule type="duplicateValues" dxfId="1941" priority="1942" stopIfTrue="1"/>
  </conditionalFormatting>
  <conditionalFormatting sqref="A888:A895">
    <cfRule type="duplicateValues" dxfId="1940" priority="1941" stopIfTrue="1"/>
  </conditionalFormatting>
  <conditionalFormatting sqref="A888:A895">
    <cfRule type="duplicateValues" dxfId="1939" priority="1940" stopIfTrue="1"/>
  </conditionalFormatting>
  <conditionalFormatting sqref="A888:A895">
    <cfRule type="duplicateValues" dxfId="1938" priority="1939" stopIfTrue="1"/>
  </conditionalFormatting>
  <conditionalFormatting sqref="A888:A895">
    <cfRule type="duplicateValues" dxfId="1937" priority="1936" stopIfTrue="1"/>
    <cfRule type="duplicateValues" dxfId="1936" priority="1937" stopIfTrue="1"/>
    <cfRule type="duplicateValues" dxfId="1935" priority="1938" stopIfTrue="1"/>
  </conditionalFormatting>
  <conditionalFormatting sqref="A888:A895">
    <cfRule type="duplicateValues" dxfId="1934" priority="1935" stopIfTrue="1"/>
  </conditionalFormatting>
  <conditionalFormatting sqref="A888:A895">
    <cfRule type="duplicateValues" dxfId="1933" priority="1934" stopIfTrue="1"/>
  </conditionalFormatting>
  <conditionalFormatting sqref="A888:A895">
    <cfRule type="duplicateValues" dxfId="1932" priority="1933" stopIfTrue="1"/>
  </conditionalFormatting>
  <conditionalFormatting sqref="A888:A895">
    <cfRule type="duplicateValues" dxfId="1931" priority="1932" stopIfTrue="1"/>
  </conditionalFormatting>
  <conditionalFormatting sqref="A888:A895">
    <cfRule type="duplicateValues" dxfId="1930" priority="1930" stopIfTrue="1"/>
    <cfRule type="duplicateValues" dxfId="1929" priority="1931" stopIfTrue="1"/>
  </conditionalFormatting>
  <conditionalFormatting sqref="A888:A895">
    <cfRule type="duplicateValues" dxfId="1928" priority="1929" stopIfTrue="1"/>
  </conditionalFormatting>
  <conditionalFormatting sqref="A888:A895">
    <cfRule type="duplicateValues" dxfId="1927" priority="1928" stopIfTrue="1"/>
  </conditionalFormatting>
  <conditionalFormatting sqref="A888:A895">
    <cfRule type="duplicateValues" dxfId="1926" priority="1927" stopIfTrue="1"/>
  </conditionalFormatting>
  <conditionalFormatting sqref="A888:A895">
    <cfRule type="duplicateValues" dxfId="1925" priority="1924" stopIfTrue="1"/>
    <cfRule type="duplicateValues" dxfId="1924" priority="1925" stopIfTrue="1"/>
    <cfRule type="duplicateValues" dxfId="1923" priority="1926" stopIfTrue="1"/>
  </conditionalFormatting>
  <conditionalFormatting sqref="A888:A895">
    <cfRule type="duplicateValues" dxfId="1922" priority="1923" stopIfTrue="1"/>
  </conditionalFormatting>
  <conditionalFormatting sqref="A888:A895">
    <cfRule type="duplicateValues" dxfId="1921" priority="1921" stopIfTrue="1"/>
    <cfRule type="duplicateValues" dxfId="1920" priority="1922" stopIfTrue="1"/>
  </conditionalFormatting>
  <conditionalFormatting sqref="A888:A895">
    <cfRule type="duplicateValues" dxfId="1919" priority="1920" stopIfTrue="1"/>
  </conditionalFormatting>
  <conditionalFormatting sqref="A888:A895">
    <cfRule type="duplicateValues" dxfId="1918" priority="1919" stopIfTrue="1"/>
  </conditionalFormatting>
  <conditionalFormatting sqref="A888:A895">
    <cfRule type="duplicateValues" dxfId="1917" priority="1918" stopIfTrue="1"/>
  </conditionalFormatting>
  <conditionalFormatting sqref="A888:A895">
    <cfRule type="duplicateValues" dxfId="1916" priority="1915" stopIfTrue="1"/>
    <cfRule type="duplicateValues" dxfId="1915" priority="1916" stopIfTrue="1"/>
    <cfRule type="cellIs" dxfId="1914" priority="1917" stopIfTrue="1" operator="equal">
      <formula>25504</formula>
    </cfRule>
  </conditionalFormatting>
  <conditionalFormatting sqref="A888:A895">
    <cfRule type="duplicateValues" dxfId="1913" priority="1914" stopIfTrue="1"/>
  </conditionalFormatting>
  <conditionalFormatting sqref="A888:A895">
    <cfRule type="duplicateValues" dxfId="1912" priority="1912" stopIfTrue="1"/>
    <cfRule type="duplicateValues" dxfId="1911" priority="1913" stopIfTrue="1"/>
  </conditionalFormatting>
  <conditionalFormatting sqref="A888:A895">
    <cfRule type="duplicateValues" dxfId="1910" priority="1911" stopIfTrue="1"/>
  </conditionalFormatting>
  <conditionalFormatting sqref="A888:A895">
    <cfRule type="duplicateValues" dxfId="1909" priority="1908" stopIfTrue="1"/>
    <cfRule type="duplicateValues" dxfId="1908" priority="1909" stopIfTrue="1"/>
    <cfRule type="duplicateValues" dxfId="1907" priority="1910" stopIfTrue="1"/>
  </conditionalFormatting>
  <conditionalFormatting sqref="A888:A895">
    <cfRule type="duplicateValues" dxfId="1906" priority="1907"/>
  </conditionalFormatting>
  <conditionalFormatting sqref="A888:A895">
    <cfRule type="duplicateValues" dxfId="1905" priority="1906"/>
  </conditionalFormatting>
  <conditionalFormatting sqref="A888:A895">
    <cfRule type="duplicateValues" dxfId="1904" priority="1905"/>
  </conditionalFormatting>
  <conditionalFormatting sqref="A888:A895">
    <cfRule type="duplicateValues" dxfId="1903" priority="1904"/>
  </conditionalFormatting>
  <conditionalFormatting sqref="A888:A895">
    <cfRule type="duplicateValues" dxfId="1902" priority="1903"/>
  </conditionalFormatting>
  <conditionalFormatting sqref="A888:A895">
    <cfRule type="duplicateValues" dxfId="1901" priority="1902"/>
  </conditionalFormatting>
  <conditionalFormatting sqref="A888:A895">
    <cfRule type="duplicateValues" dxfId="1900" priority="1900"/>
    <cfRule type="duplicateValues" dxfId="1899" priority="1901"/>
  </conditionalFormatting>
  <conditionalFormatting sqref="A888:A895">
    <cfRule type="duplicateValues" dxfId="1898" priority="1899"/>
  </conditionalFormatting>
  <conditionalFormatting sqref="A888:A895">
    <cfRule type="duplicateValues" dxfId="1897" priority="1898"/>
  </conditionalFormatting>
  <conditionalFormatting sqref="A888:A895">
    <cfRule type="duplicateValues" dxfId="1896" priority="1897"/>
  </conditionalFormatting>
  <conditionalFormatting sqref="A888:A895">
    <cfRule type="duplicateValues" dxfId="1895" priority="1895"/>
    <cfRule type="duplicateValues" dxfId="1894" priority="1896"/>
  </conditionalFormatting>
  <conditionalFormatting sqref="A888:A895">
    <cfRule type="duplicateValues" dxfId="1893" priority="1894"/>
  </conditionalFormatting>
  <conditionalFormatting sqref="A888:A895">
    <cfRule type="duplicateValues" dxfId="1892" priority="1893"/>
  </conditionalFormatting>
  <conditionalFormatting sqref="A888:A895">
    <cfRule type="duplicateValues" dxfId="1891" priority="1891"/>
    <cfRule type="duplicateValues" dxfId="1890" priority="1892"/>
  </conditionalFormatting>
  <conditionalFormatting sqref="A888:A895">
    <cfRule type="duplicateValues" dxfId="1889" priority="1890"/>
  </conditionalFormatting>
  <conditionalFormatting sqref="A888:A895">
    <cfRule type="duplicateValues" dxfId="1888" priority="1889"/>
  </conditionalFormatting>
  <conditionalFormatting sqref="A888:A895">
    <cfRule type="duplicateValues" dxfId="1887" priority="1888"/>
  </conditionalFormatting>
  <conditionalFormatting sqref="A888:A895">
    <cfRule type="duplicateValues" dxfId="1886" priority="1887"/>
  </conditionalFormatting>
  <conditionalFormatting sqref="A888:A895">
    <cfRule type="duplicateValues" dxfId="1885" priority="1885"/>
    <cfRule type="duplicateValues" dxfId="1884" priority="1886"/>
  </conditionalFormatting>
  <conditionalFormatting sqref="A888:A895">
    <cfRule type="duplicateValues" dxfId="1883" priority="1884"/>
  </conditionalFormatting>
  <conditionalFormatting sqref="A888:A895">
    <cfRule type="duplicateValues" dxfId="1882" priority="1883"/>
  </conditionalFormatting>
  <conditionalFormatting sqref="A888:A895">
    <cfRule type="duplicateValues" dxfId="1881" priority="1882"/>
  </conditionalFormatting>
  <conditionalFormatting sqref="A888:A895">
    <cfRule type="duplicateValues" dxfId="1880" priority="1879"/>
    <cfRule type="duplicateValues" dxfId="1879" priority="1880"/>
    <cfRule type="duplicateValues" dxfId="1878" priority="1881"/>
  </conditionalFormatting>
  <conditionalFormatting sqref="A888:A895">
    <cfRule type="duplicateValues" dxfId="1877" priority="1878"/>
  </conditionalFormatting>
  <conditionalFormatting sqref="A888:A895">
    <cfRule type="duplicateValues" dxfId="1876" priority="1877"/>
  </conditionalFormatting>
  <conditionalFormatting sqref="A888:A895">
    <cfRule type="duplicateValues" dxfId="1875" priority="1876"/>
  </conditionalFormatting>
  <conditionalFormatting sqref="A888:A895">
    <cfRule type="duplicateValues" dxfId="1874" priority="1875"/>
  </conditionalFormatting>
  <conditionalFormatting sqref="A888:A895">
    <cfRule type="duplicateValues" dxfId="1873" priority="1874"/>
  </conditionalFormatting>
  <conditionalFormatting sqref="A888:A895">
    <cfRule type="duplicateValues" dxfId="1872" priority="1873"/>
  </conditionalFormatting>
  <conditionalFormatting sqref="A888:A895">
    <cfRule type="duplicateValues" dxfId="1871" priority="1872" stopIfTrue="1"/>
  </conditionalFormatting>
  <conditionalFormatting sqref="A888:A895">
    <cfRule type="duplicateValues" dxfId="1870" priority="1871" stopIfTrue="1"/>
  </conditionalFormatting>
  <conditionalFormatting sqref="A888:A895">
    <cfRule type="duplicateValues" dxfId="1869" priority="1870" stopIfTrue="1"/>
  </conditionalFormatting>
  <conditionalFormatting sqref="A888:A895">
    <cfRule type="duplicateValues" dxfId="1868" priority="1869" stopIfTrue="1"/>
  </conditionalFormatting>
  <conditionalFormatting sqref="A888:A895">
    <cfRule type="duplicateValues" dxfId="1867" priority="1868" stopIfTrue="1"/>
  </conditionalFormatting>
  <conditionalFormatting sqref="A888:A895">
    <cfRule type="duplicateValues" dxfId="1866" priority="1867" stopIfTrue="1"/>
  </conditionalFormatting>
  <conditionalFormatting sqref="A888:A895">
    <cfRule type="duplicateValues" dxfId="1865" priority="1864" stopIfTrue="1"/>
    <cfRule type="duplicateValues" dxfId="1864" priority="1865" stopIfTrue="1"/>
    <cfRule type="duplicateValues" dxfId="1863" priority="1866" stopIfTrue="1"/>
  </conditionalFormatting>
  <conditionalFormatting sqref="A888:A895">
    <cfRule type="duplicateValues" dxfId="1862" priority="1863" stopIfTrue="1"/>
  </conditionalFormatting>
  <conditionalFormatting sqref="A888:A895">
    <cfRule type="duplicateValues" dxfId="1861" priority="1862" stopIfTrue="1"/>
  </conditionalFormatting>
  <conditionalFormatting sqref="A888:A895">
    <cfRule type="duplicateValues" dxfId="1860" priority="1860" stopIfTrue="1"/>
    <cfRule type="duplicateValues" dxfId="1859" priority="1861" stopIfTrue="1"/>
  </conditionalFormatting>
  <conditionalFormatting sqref="A888:A895">
    <cfRule type="duplicateValues" dxfId="1858" priority="1857" stopIfTrue="1"/>
    <cfRule type="duplicateValues" dxfId="1857" priority="1858" stopIfTrue="1"/>
    <cfRule type="cellIs" dxfId="1856" priority="1859" stopIfTrue="1" operator="equal">
      <formula>25504</formula>
    </cfRule>
  </conditionalFormatting>
  <conditionalFormatting sqref="A888:A895">
    <cfRule type="duplicateValues" dxfId="1855" priority="1856" stopIfTrue="1"/>
  </conditionalFormatting>
  <conditionalFormatting sqref="A888:A895">
    <cfRule type="duplicateValues" dxfId="1854" priority="1854" stopIfTrue="1"/>
    <cfRule type="duplicateValues" dxfId="1853" priority="1855" stopIfTrue="1"/>
  </conditionalFormatting>
  <conditionalFormatting sqref="A888:A895">
    <cfRule type="duplicateValues" dxfId="1852" priority="1853" stopIfTrue="1"/>
  </conditionalFormatting>
  <conditionalFormatting sqref="A888:A895">
    <cfRule type="duplicateValues" dxfId="1851" priority="1852" stopIfTrue="1"/>
  </conditionalFormatting>
  <conditionalFormatting sqref="A888:A895">
    <cfRule type="duplicateValues" dxfId="1850" priority="1851" stopIfTrue="1"/>
  </conditionalFormatting>
  <conditionalFormatting sqref="A888:A895">
    <cfRule type="duplicateValues" dxfId="1849" priority="1850" stopIfTrue="1"/>
  </conditionalFormatting>
  <conditionalFormatting sqref="A888:A895">
    <cfRule type="duplicateValues" dxfId="1848" priority="1847" stopIfTrue="1"/>
    <cfRule type="duplicateValues" dxfId="1847" priority="1848" stopIfTrue="1"/>
    <cfRule type="duplicateValues" dxfId="1846" priority="1849" stopIfTrue="1"/>
  </conditionalFormatting>
  <conditionalFormatting sqref="A888:A895">
    <cfRule type="duplicateValues" dxfId="1845" priority="1846" stopIfTrue="1"/>
  </conditionalFormatting>
  <conditionalFormatting sqref="A888:A895">
    <cfRule type="duplicateValues" dxfId="1844" priority="1845" stopIfTrue="1"/>
  </conditionalFormatting>
  <conditionalFormatting sqref="A888:A895">
    <cfRule type="duplicateValues" dxfId="1843" priority="1844" stopIfTrue="1"/>
  </conditionalFormatting>
  <conditionalFormatting sqref="A888:A895">
    <cfRule type="duplicateValues" dxfId="1842" priority="1843" stopIfTrue="1"/>
  </conditionalFormatting>
  <conditionalFormatting sqref="A888:A895">
    <cfRule type="duplicateValues" dxfId="1841" priority="1841" stopIfTrue="1"/>
    <cfRule type="duplicateValues" dxfId="1840" priority="1842" stopIfTrue="1"/>
  </conditionalFormatting>
  <conditionalFormatting sqref="A888:A895">
    <cfRule type="duplicateValues" dxfId="1839" priority="1840" stopIfTrue="1"/>
  </conditionalFormatting>
  <conditionalFormatting sqref="A888:A895">
    <cfRule type="duplicateValues" dxfId="1838" priority="1839" stopIfTrue="1"/>
  </conditionalFormatting>
  <conditionalFormatting sqref="A888:A895">
    <cfRule type="duplicateValues" dxfId="1837" priority="1838" stopIfTrue="1"/>
  </conditionalFormatting>
  <conditionalFormatting sqref="A888:A895">
    <cfRule type="duplicateValues" dxfId="1836" priority="1835" stopIfTrue="1"/>
    <cfRule type="duplicateValues" dxfId="1835" priority="1836" stopIfTrue="1"/>
    <cfRule type="duplicateValues" dxfId="1834" priority="1837" stopIfTrue="1"/>
  </conditionalFormatting>
  <conditionalFormatting sqref="A888:A895">
    <cfRule type="duplicateValues" dxfId="1833" priority="1834" stopIfTrue="1"/>
  </conditionalFormatting>
  <conditionalFormatting sqref="A888:A895">
    <cfRule type="duplicateValues" dxfId="1832" priority="1832" stopIfTrue="1"/>
    <cfRule type="duplicateValues" dxfId="1831" priority="1833" stopIfTrue="1"/>
  </conditionalFormatting>
  <conditionalFormatting sqref="A888:A895">
    <cfRule type="duplicateValues" dxfId="1830" priority="1831" stopIfTrue="1"/>
  </conditionalFormatting>
  <conditionalFormatting sqref="A888:A895">
    <cfRule type="duplicateValues" dxfId="1829" priority="1830" stopIfTrue="1"/>
  </conditionalFormatting>
  <conditionalFormatting sqref="A888:A895">
    <cfRule type="duplicateValues" dxfId="1828" priority="1829" stopIfTrue="1"/>
  </conditionalFormatting>
  <conditionalFormatting sqref="A1045">
    <cfRule type="duplicateValues" dxfId="1827" priority="1828"/>
  </conditionalFormatting>
  <conditionalFormatting sqref="A1045">
    <cfRule type="duplicateValues" dxfId="1826" priority="1827" stopIfTrue="1"/>
  </conditionalFormatting>
  <conditionalFormatting sqref="A1045">
    <cfRule type="duplicateValues" dxfId="1825" priority="1826" stopIfTrue="1"/>
  </conditionalFormatting>
  <conditionalFormatting sqref="A1045">
    <cfRule type="duplicateValues" dxfId="1824" priority="1825" stopIfTrue="1"/>
  </conditionalFormatting>
  <conditionalFormatting sqref="A1045">
    <cfRule type="duplicateValues" dxfId="1823" priority="1824" stopIfTrue="1"/>
  </conditionalFormatting>
  <conditionalFormatting sqref="A1045">
    <cfRule type="duplicateValues" dxfId="1822" priority="1823" stopIfTrue="1"/>
  </conditionalFormatting>
  <conditionalFormatting sqref="A1045">
    <cfRule type="duplicateValues" dxfId="1821" priority="1822" stopIfTrue="1"/>
  </conditionalFormatting>
  <conditionalFormatting sqref="A1045">
    <cfRule type="duplicateValues" dxfId="1820" priority="1819" stopIfTrue="1"/>
    <cfRule type="duplicateValues" dxfId="1819" priority="1820" stopIfTrue="1"/>
    <cfRule type="duplicateValues" dxfId="1818" priority="1821" stopIfTrue="1"/>
  </conditionalFormatting>
  <conditionalFormatting sqref="A1045">
    <cfRule type="duplicateValues" dxfId="1817" priority="1818" stopIfTrue="1"/>
  </conditionalFormatting>
  <conditionalFormatting sqref="A1045">
    <cfRule type="duplicateValues" dxfId="1816" priority="1817" stopIfTrue="1"/>
  </conditionalFormatting>
  <conditionalFormatting sqref="A1045">
    <cfRule type="duplicateValues" dxfId="1815" priority="1815" stopIfTrue="1"/>
    <cfRule type="duplicateValues" dxfId="1814" priority="1816" stopIfTrue="1"/>
  </conditionalFormatting>
  <conditionalFormatting sqref="A1045">
    <cfRule type="duplicateValues" dxfId="1813" priority="1812" stopIfTrue="1"/>
    <cfRule type="duplicateValues" dxfId="1812" priority="1813" stopIfTrue="1"/>
    <cfRule type="cellIs" dxfId="1811" priority="1814" stopIfTrue="1" operator="equal">
      <formula>25504</formula>
    </cfRule>
  </conditionalFormatting>
  <conditionalFormatting sqref="A1045">
    <cfRule type="duplicateValues" dxfId="1810" priority="1811" stopIfTrue="1"/>
  </conditionalFormatting>
  <conditionalFormatting sqref="A1045">
    <cfRule type="duplicateValues" dxfId="1809" priority="1809" stopIfTrue="1"/>
    <cfRule type="duplicateValues" dxfId="1808" priority="1810" stopIfTrue="1"/>
  </conditionalFormatting>
  <conditionalFormatting sqref="A1045">
    <cfRule type="duplicateValues" dxfId="1807" priority="1808" stopIfTrue="1"/>
  </conditionalFormatting>
  <conditionalFormatting sqref="A1045">
    <cfRule type="duplicateValues" dxfId="1806" priority="1807" stopIfTrue="1"/>
  </conditionalFormatting>
  <conditionalFormatting sqref="A1045">
    <cfRule type="duplicateValues" dxfId="1805" priority="1806" stopIfTrue="1"/>
  </conditionalFormatting>
  <conditionalFormatting sqref="A1045">
    <cfRule type="duplicateValues" dxfId="1804" priority="1803" stopIfTrue="1"/>
    <cfRule type="duplicateValues" dxfId="1803" priority="1804" stopIfTrue="1"/>
    <cfRule type="duplicateValues" dxfId="1802" priority="1805" stopIfTrue="1"/>
  </conditionalFormatting>
  <conditionalFormatting sqref="A1045">
    <cfRule type="duplicateValues" dxfId="1801" priority="1802" stopIfTrue="1"/>
  </conditionalFormatting>
  <conditionalFormatting sqref="A1045">
    <cfRule type="duplicateValues" dxfId="1800" priority="1801" stopIfTrue="1"/>
  </conditionalFormatting>
  <conditionalFormatting sqref="A1045">
    <cfRule type="duplicateValues" dxfId="1799" priority="1800" stopIfTrue="1"/>
  </conditionalFormatting>
  <conditionalFormatting sqref="A1045">
    <cfRule type="duplicateValues" dxfId="1798" priority="1799" stopIfTrue="1"/>
  </conditionalFormatting>
  <conditionalFormatting sqref="A1045">
    <cfRule type="duplicateValues" dxfId="1797" priority="1797" stopIfTrue="1"/>
    <cfRule type="duplicateValues" dxfId="1796" priority="1798" stopIfTrue="1"/>
  </conditionalFormatting>
  <conditionalFormatting sqref="A1045">
    <cfRule type="duplicateValues" dxfId="1795" priority="1796" stopIfTrue="1"/>
  </conditionalFormatting>
  <conditionalFormatting sqref="A1045">
    <cfRule type="duplicateValues" dxfId="1794" priority="1795" stopIfTrue="1"/>
  </conditionalFormatting>
  <conditionalFormatting sqref="A1045">
    <cfRule type="duplicateValues" dxfId="1793" priority="1794" stopIfTrue="1"/>
  </conditionalFormatting>
  <conditionalFormatting sqref="A1045">
    <cfRule type="duplicateValues" dxfId="1792" priority="1791" stopIfTrue="1"/>
    <cfRule type="duplicateValues" dxfId="1791" priority="1792" stopIfTrue="1"/>
    <cfRule type="duplicateValues" dxfId="1790" priority="1793" stopIfTrue="1"/>
  </conditionalFormatting>
  <conditionalFormatting sqref="A1045">
    <cfRule type="duplicateValues" dxfId="1789" priority="1790"/>
  </conditionalFormatting>
  <conditionalFormatting sqref="A1045">
    <cfRule type="duplicateValues" dxfId="1788" priority="1789"/>
  </conditionalFormatting>
  <conditionalFormatting sqref="A1045">
    <cfRule type="duplicateValues" dxfId="1787" priority="1788"/>
  </conditionalFormatting>
  <conditionalFormatting sqref="A1045">
    <cfRule type="duplicateValues" dxfId="1786" priority="1787"/>
  </conditionalFormatting>
  <conditionalFormatting sqref="A1045">
    <cfRule type="duplicateValues" dxfId="1785" priority="1785"/>
    <cfRule type="duplicateValues" dxfId="1784" priority="1786"/>
  </conditionalFormatting>
  <conditionalFormatting sqref="A1045">
    <cfRule type="duplicateValues" dxfId="1783" priority="1784"/>
  </conditionalFormatting>
  <conditionalFormatting sqref="A1045">
    <cfRule type="duplicateValues" dxfId="1782" priority="1783"/>
  </conditionalFormatting>
  <conditionalFormatting sqref="A1045">
    <cfRule type="duplicateValues" dxfId="1781" priority="1780"/>
    <cfRule type="duplicateValues" dxfId="1780" priority="1781"/>
    <cfRule type="duplicateValues" dxfId="1779" priority="1782"/>
  </conditionalFormatting>
  <conditionalFormatting sqref="A1045">
    <cfRule type="duplicateValues" dxfId="1778" priority="1779"/>
  </conditionalFormatting>
  <conditionalFormatting sqref="A1045">
    <cfRule type="duplicateValues" dxfId="1777" priority="1778"/>
  </conditionalFormatting>
  <conditionalFormatting sqref="A1045">
    <cfRule type="duplicateValues" dxfId="1776" priority="1777"/>
  </conditionalFormatting>
  <conditionalFormatting sqref="A1045">
    <cfRule type="duplicateValues" dxfId="1775" priority="1776"/>
  </conditionalFormatting>
  <conditionalFormatting sqref="A1045">
    <cfRule type="duplicateValues" dxfId="1774" priority="1775"/>
  </conditionalFormatting>
  <conditionalFormatting sqref="A1045">
    <cfRule type="duplicateValues" dxfId="1773" priority="1774"/>
  </conditionalFormatting>
  <conditionalFormatting sqref="A1045">
    <cfRule type="duplicateValues" dxfId="1772" priority="1773"/>
  </conditionalFormatting>
  <conditionalFormatting sqref="A1045">
    <cfRule type="duplicateValues" dxfId="1771" priority="1772"/>
  </conditionalFormatting>
  <conditionalFormatting sqref="A1045">
    <cfRule type="duplicateValues" dxfId="1770" priority="1771"/>
  </conditionalFormatting>
  <conditionalFormatting sqref="A1045">
    <cfRule type="duplicateValues" dxfId="1769" priority="1770"/>
  </conditionalFormatting>
  <conditionalFormatting sqref="A1045">
    <cfRule type="duplicateValues" dxfId="1768" priority="1769"/>
  </conditionalFormatting>
  <conditionalFormatting sqref="A1045">
    <cfRule type="duplicateValues" dxfId="1767" priority="1768"/>
  </conditionalFormatting>
  <conditionalFormatting sqref="A1045">
    <cfRule type="duplicateValues" dxfId="1766" priority="1767"/>
  </conditionalFormatting>
  <conditionalFormatting sqref="A1045">
    <cfRule type="duplicateValues" dxfId="1765" priority="1766"/>
  </conditionalFormatting>
  <conditionalFormatting sqref="A1045">
    <cfRule type="duplicateValues" dxfId="1764" priority="1765"/>
  </conditionalFormatting>
  <conditionalFormatting sqref="A1045">
    <cfRule type="duplicateValues" dxfId="1763" priority="1763"/>
    <cfRule type="duplicateValues" dxfId="1762" priority="1764"/>
  </conditionalFormatting>
  <conditionalFormatting sqref="A1045">
    <cfRule type="duplicateValues" dxfId="1761" priority="1762"/>
  </conditionalFormatting>
  <conditionalFormatting sqref="A1045">
    <cfRule type="duplicateValues" dxfId="1760" priority="1761"/>
  </conditionalFormatting>
  <conditionalFormatting sqref="A1045">
    <cfRule type="duplicateValues" dxfId="1759" priority="1760"/>
  </conditionalFormatting>
  <conditionalFormatting sqref="A1045">
    <cfRule type="duplicateValues" dxfId="1758" priority="1758"/>
    <cfRule type="duplicateValues" dxfId="1757" priority="1759"/>
  </conditionalFormatting>
  <conditionalFormatting sqref="A1045">
    <cfRule type="duplicateValues" dxfId="1756" priority="1757"/>
  </conditionalFormatting>
  <conditionalFormatting sqref="A1045">
    <cfRule type="duplicateValues" dxfId="1755" priority="1756"/>
  </conditionalFormatting>
  <conditionalFormatting sqref="A1045">
    <cfRule type="duplicateValues" dxfId="1754" priority="1755" stopIfTrue="1"/>
  </conditionalFormatting>
  <conditionalFormatting sqref="A1045">
    <cfRule type="duplicateValues" dxfId="1753" priority="1754" stopIfTrue="1"/>
  </conditionalFormatting>
  <conditionalFormatting sqref="A1045">
    <cfRule type="duplicateValues" dxfId="1752" priority="1752" stopIfTrue="1"/>
    <cfRule type="duplicateValues" dxfId="1751" priority="1753" stopIfTrue="1"/>
  </conditionalFormatting>
  <conditionalFormatting sqref="A1045">
    <cfRule type="duplicateValues" dxfId="1750" priority="1751" stopIfTrue="1"/>
  </conditionalFormatting>
  <conditionalFormatting sqref="A1045">
    <cfRule type="duplicateValues" dxfId="1749" priority="1750" stopIfTrue="1"/>
  </conditionalFormatting>
  <conditionalFormatting sqref="A1045">
    <cfRule type="duplicateValues" dxfId="1748" priority="1749" stopIfTrue="1"/>
  </conditionalFormatting>
  <conditionalFormatting sqref="A1045">
    <cfRule type="duplicateValues" dxfId="1747" priority="1747"/>
    <cfRule type="duplicateValues" dxfId="1746" priority="1748"/>
  </conditionalFormatting>
  <conditionalFormatting sqref="A1045">
    <cfRule type="duplicateValues" dxfId="1745" priority="1746" stopIfTrue="1"/>
  </conditionalFormatting>
  <conditionalFormatting sqref="A1045">
    <cfRule type="duplicateValues" dxfId="1744" priority="1745" stopIfTrue="1"/>
  </conditionalFormatting>
  <conditionalFormatting sqref="A1045">
    <cfRule type="duplicateValues" dxfId="1743" priority="1742" stopIfTrue="1"/>
    <cfRule type="duplicateValues" dxfId="1742" priority="1743" stopIfTrue="1"/>
    <cfRule type="duplicateValues" dxfId="1741" priority="1744" stopIfTrue="1"/>
  </conditionalFormatting>
  <conditionalFormatting sqref="A1045">
    <cfRule type="duplicateValues" dxfId="1740" priority="1740" stopIfTrue="1"/>
    <cfRule type="duplicateValues" dxfId="1739" priority="1741" stopIfTrue="1"/>
  </conditionalFormatting>
  <conditionalFormatting sqref="A1045">
    <cfRule type="duplicateValues" dxfId="1738" priority="1737" stopIfTrue="1"/>
    <cfRule type="duplicateValues" dxfId="1737" priority="1738" stopIfTrue="1"/>
    <cfRule type="cellIs" dxfId="1736" priority="1739" stopIfTrue="1" operator="equal">
      <formula>25504</formula>
    </cfRule>
  </conditionalFormatting>
  <conditionalFormatting sqref="A1045">
    <cfRule type="duplicateValues" dxfId="1735" priority="1736"/>
  </conditionalFormatting>
  <conditionalFormatting sqref="A1045">
    <cfRule type="duplicateValues" dxfId="1734" priority="1734"/>
    <cfRule type="duplicateValues" dxfId="1733" priority="1735"/>
  </conditionalFormatting>
  <conditionalFormatting sqref="A1045">
    <cfRule type="duplicateValues" dxfId="1732" priority="1731"/>
    <cfRule type="duplicateValues" dxfId="1731" priority="1732"/>
    <cfRule type="duplicateValues" dxfId="1730" priority="1733"/>
  </conditionalFormatting>
  <conditionalFormatting sqref="A1045">
    <cfRule type="duplicateValues" dxfId="1729" priority="1730" stopIfTrue="1"/>
  </conditionalFormatting>
  <conditionalFormatting sqref="A1045">
    <cfRule type="duplicateValues" dxfId="1728" priority="1727" stopIfTrue="1"/>
    <cfRule type="duplicateValues" dxfId="1727" priority="1728" stopIfTrue="1"/>
    <cfRule type="cellIs" dxfId="1726" priority="1729" stopIfTrue="1" operator="equal">
      <formula>25504</formula>
    </cfRule>
  </conditionalFormatting>
  <conditionalFormatting sqref="A1047:A1048">
    <cfRule type="duplicateValues" dxfId="1725" priority="1726"/>
  </conditionalFormatting>
  <conditionalFormatting sqref="A1047:A1048">
    <cfRule type="duplicateValues" dxfId="1724" priority="1725"/>
  </conditionalFormatting>
  <conditionalFormatting sqref="A1047:A1048">
    <cfRule type="duplicateValues" dxfId="1723" priority="1724"/>
  </conditionalFormatting>
  <conditionalFormatting sqref="A1047:A1048">
    <cfRule type="duplicateValues" dxfId="1722" priority="1723"/>
  </conditionalFormatting>
  <conditionalFormatting sqref="A1047:A1048">
    <cfRule type="duplicateValues" dxfId="1721" priority="1722"/>
  </conditionalFormatting>
  <conditionalFormatting sqref="A1047:A1048">
    <cfRule type="duplicateValues" dxfId="1720" priority="1720"/>
    <cfRule type="duplicateValues" dxfId="1719" priority="1721"/>
  </conditionalFormatting>
  <conditionalFormatting sqref="A1047:A1048">
    <cfRule type="duplicateValues" dxfId="1718" priority="1719"/>
  </conditionalFormatting>
  <conditionalFormatting sqref="A1047:A1048">
    <cfRule type="duplicateValues" dxfId="1717" priority="1718"/>
  </conditionalFormatting>
  <conditionalFormatting sqref="A1047:A1048">
    <cfRule type="duplicateValues" dxfId="1716" priority="1715"/>
    <cfRule type="duplicateValues" dxfId="1715" priority="1716"/>
    <cfRule type="duplicateValues" dxfId="1714" priority="1717"/>
  </conditionalFormatting>
  <conditionalFormatting sqref="A1047:A1048">
    <cfRule type="duplicateValues" dxfId="1713" priority="1714"/>
  </conditionalFormatting>
  <conditionalFormatting sqref="A1047:A1048">
    <cfRule type="duplicateValues" dxfId="1712" priority="1713"/>
  </conditionalFormatting>
  <conditionalFormatting sqref="A1047:A1048">
    <cfRule type="duplicateValues" dxfId="1711" priority="1712"/>
  </conditionalFormatting>
  <conditionalFormatting sqref="A1047:A1048">
    <cfRule type="duplicateValues" dxfId="1710" priority="1711"/>
  </conditionalFormatting>
  <conditionalFormatting sqref="A1047:A1048">
    <cfRule type="duplicateValues" dxfId="1709" priority="1710"/>
  </conditionalFormatting>
  <conditionalFormatting sqref="A1047:A1048">
    <cfRule type="duplicateValues" dxfId="1708" priority="1709"/>
  </conditionalFormatting>
  <conditionalFormatting sqref="A1047:A1048">
    <cfRule type="duplicateValues" dxfId="1707" priority="1708"/>
  </conditionalFormatting>
  <conditionalFormatting sqref="A1047:A1048">
    <cfRule type="duplicateValues" dxfId="1706" priority="1707"/>
  </conditionalFormatting>
  <conditionalFormatting sqref="A1047:A1048">
    <cfRule type="duplicateValues" dxfId="1705" priority="1706"/>
  </conditionalFormatting>
  <conditionalFormatting sqref="A1047:A1048">
    <cfRule type="duplicateValues" dxfId="1704" priority="1705"/>
  </conditionalFormatting>
  <conditionalFormatting sqref="A1047:A1048">
    <cfRule type="duplicateValues" dxfId="1703" priority="1704"/>
  </conditionalFormatting>
  <conditionalFormatting sqref="A1047:A1048">
    <cfRule type="duplicateValues" dxfId="1702" priority="1703"/>
  </conditionalFormatting>
  <conditionalFormatting sqref="A1047:A1048">
    <cfRule type="duplicateValues" dxfId="1701" priority="1702"/>
  </conditionalFormatting>
  <conditionalFormatting sqref="A1047:A1048">
    <cfRule type="duplicateValues" dxfId="1700" priority="1701"/>
  </conditionalFormatting>
  <conditionalFormatting sqref="A1047:A1048">
    <cfRule type="duplicateValues" dxfId="1699" priority="1700"/>
  </conditionalFormatting>
  <conditionalFormatting sqref="A1047:A1048">
    <cfRule type="duplicateValues" dxfId="1698" priority="1698"/>
    <cfRule type="duplicateValues" dxfId="1697" priority="1699"/>
  </conditionalFormatting>
  <conditionalFormatting sqref="A1047:A1048">
    <cfRule type="duplicateValues" dxfId="1696" priority="1697"/>
  </conditionalFormatting>
  <conditionalFormatting sqref="A1047:A1048">
    <cfRule type="duplicateValues" dxfId="1695" priority="1696"/>
  </conditionalFormatting>
  <conditionalFormatting sqref="A1047:A1048">
    <cfRule type="duplicateValues" dxfId="1694" priority="1695"/>
  </conditionalFormatting>
  <conditionalFormatting sqref="A1047:A1048">
    <cfRule type="duplicateValues" dxfId="1693" priority="1693"/>
    <cfRule type="duplicateValues" dxfId="1692" priority="1694"/>
  </conditionalFormatting>
  <conditionalFormatting sqref="A1047:A1048">
    <cfRule type="duplicateValues" dxfId="1691" priority="1692"/>
  </conditionalFormatting>
  <conditionalFormatting sqref="A1047:A1048">
    <cfRule type="duplicateValues" dxfId="1690" priority="1691"/>
  </conditionalFormatting>
  <conditionalFormatting sqref="A1047:A1048">
    <cfRule type="duplicateValues" dxfId="1689" priority="1689"/>
    <cfRule type="duplicateValues" dxfId="1688" priority="1690"/>
  </conditionalFormatting>
  <conditionalFormatting sqref="A1047:A1048">
    <cfRule type="duplicateValues" dxfId="1687" priority="1688" stopIfTrue="1"/>
  </conditionalFormatting>
  <conditionalFormatting sqref="A1047:A1048">
    <cfRule type="duplicateValues" dxfId="1686" priority="1687" stopIfTrue="1"/>
  </conditionalFormatting>
  <conditionalFormatting sqref="A1047:A1048">
    <cfRule type="duplicateValues" dxfId="1685" priority="1686" stopIfTrue="1"/>
  </conditionalFormatting>
  <conditionalFormatting sqref="A1047:A1048">
    <cfRule type="duplicateValues" dxfId="1684" priority="1685" stopIfTrue="1"/>
  </conditionalFormatting>
  <conditionalFormatting sqref="A1047:A1048">
    <cfRule type="duplicateValues" dxfId="1683" priority="1684" stopIfTrue="1"/>
  </conditionalFormatting>
  <conditionalFormatting sqref="A1047:A1048">
    <cfRule type="duplicateValues" dxfId="1682" priority="1683" stopIfTrue="1"/>
  </conditionalFormatting>
  <conditionalFormatting sqref="A1047:A1048">
    <cfRule type="duplicateValues" dxfId="1681" priority="1680" stopIfTrue="1"/>
    <cfRule type="duplicateValues" dxfId="1680" priority="1681" stopIfTrue="1"/>
    <cfRule type="duplicateValues" dxfId="1679" priority="1682" stopIfTrue="1"/>
  </conditionalFormatting>
  <conditionalFormatting sqref="A1047:A1048">
    <cfRule type="duplicateValues" dxfId="1678" priority="1679" stopIfTrue="1"/>
  </conditionalFormatting>
  <conditionalFormatting sqref="A1047:A1048">
    <cfRule type="duplicateValues" dxfId="1677" priority="1678" stopIfTrue="1"/>
  </conditionalFormatting>
  <conditionalFormatting sqref="A1047:A1048">
    <cfRule type="duplicateValues" dxfId="1676" priority="1676" stopIfTrue="1"/>
    <cfRule type="duplicateValues" dxfId="1675" priority="1677" stopIfTrue="1"/>
  </conditionalFormatting>
  <conditionalFormatting sqref="A1047:A1048">
    <cfRule type="duplicateValues" dxfId="1674" priority="1673" stopIfTrue="1"/>
    <cfRule type="duplicateValues" dxfId="1673" priority="1674" stopIfTrue="1"/>
    <cfRule type="cellIs" dxfId="1672" priority="1675" stopIfTrue="1" operator="equal">
      <formula>25504</formula>
    </cfRule>
  </conditionalFormatting>
  <conditionalFormatting sqref="A1047:A1048">
    <cfRule type="duplicateValues" dxfId="1671" priority="1672" stopIfTrue="1"/>
  </conditionalFormatting>
  <conditionalFormatting sqref="A1047:A1048">
    <cfRule type="duplicateValues" dxfId="1670" priority="1670" stopIfTrue="1"/>
    <cfRule type="duplicateValues" dxfId="1669" priority="1671" stopIfTrue="1"/>
  </conditionalFormatting>
  <conditionalFormatting sqref="A1047:A1048">
    <cfRule type="duplicateValues" dxfId="1668" priority="1669" stopIfTrue="1"/>
  </conditionalFormatting>
  <conditionalFormatting sqref="A1047:A1048">
    <cfRule type="duplicateValues" dxfId="1667" priority="1668" stopIfTrue="1"/>
  </conditionalFormatting>
  <conditionalFormatting sqref="A1047:A1048">
    <cfRule type="duplicateValues" dxfId="1666" priority="1667" stopIfTrue="1"/>
  </conditionalFormatting>
  <conditionalFormatting sqref="A1047:A1048">
    <cfRule type="duplicateValues" dxfId="1665" priority="1664" stopIfTrue="1"/>
    <cfRule type="duplicateValues" dxfId="1664" priority="1665" stopIfTrue="1"/>
    <cfRule type="duplicateValues" dxfId="1663" priority="1666" stopIfTrue="1"/>
  </conditionalFormatting>
  <conditionalFormatting sqref="A1047:A1048">
    <cfRule type="duplicateValues" dxfId="1662" priority="1663" stopIfTrue="1"/>
  </conditionalFormatting>
  <conditionalFormatting sqref="A1047:A1048">
    <cfRule type="duplicateValues" dxfId="1661" priority="1662" stopIfTrue="1"/>
  </conditionalFormatting>
  <conditionalFormatting sqref="A1047:A1048">
    <cfRule type="duplicateValues" dxfId="1660" priority="1661" stopIfTrue="1"/>
  </conditionalFormatting>
  <conditionalFormatting sqref="A1047:A1048">
    <cfRule type="duplicateValues" dxfId="1659" priority="1660" stopIfTrue="1"/>
  </conditionalFormatting>
  <conditionalFormatting sqref="A1047:A1048">
    <cfRule type="duplicateValues" dxfId="1658" priority="1658" stopIfTrue="1"/>
    <cfRule type="duplicateValues" dxfId="1657" priority="1659" stopIfTrue="1"/>
  </conditionalFormatting>
  <conditionalFormatting sqref="A1047:A1048">
    <cfRule type="duplicateValues" dxfId="1656" priority="1657" stopIfTrue="1"/>
  </conditionalFormatting>
  <conditionalFormatting sqref="A1047:A1048">
    <cfRule type="duplicateValues" dxfId="1655" priority="1656" stopIfTrue="1"/>
  </conditionalFormatting>
  <conditionalFormatting sqref="A1047:A1048">
    <cfRule type="duplicateValues" dxfId="1654" priority="1655" stopIfTrue="1"/>
  </conditionalFormatting>
  <conditionalFormatting sqref="A1047:A1048">
    <cfRule type="duplicateValues" dxfId="1653" priority="1652" stopIfTrue="1"/>
    <cfRule type="duplicateValues" dxfId="1652" priority="1653" stopIfTrue="1"/>
    <cfRule type="duplicateValues" dxfId="1651" priority="1654" stopIfTrue="1"/>
  </conditionalFormatting>
  <conditionalFormatting sqref="A1047:A1048">
    <cfRule type="duplicateValues" dxfId="1650" priority="1651" stopIfTrue="1"/>
  </conditionalFormatting>
  <conditionalFormatting sqref="A1047:A1048">
    <cfRule type="duplicateValues" dxfId="1649" priority="1650" stopIfTrue="1"/>
  </conditionalFormatting>
  <conditionalFormatting sqref="A1047:A1048">
    <cfRule type="duplicateValues" dxfId="1648" priority="1648" stopIfTrue="1"/>
    <cfRule type="duplicateValues" dxfId="1647" priority="1649" stopIfTrue="1"/>
  </conditionalFormatting>
  <conditionalFormatting sqref="A1047:A1048">
    <cfRule type="duplicateValues" dxfId="1646" priority="1647" stopIfTrue="1"/>
  </conditionalFormatting>
  <conditionalFormatting sqref="A1047:A1048">
    <cfRule type="duplicateValues" dxfId="1645" priority="1646" stopIfTrue="1"/>
  </conditionalFormatting>
  <conditionalFormatting sqref="A1047:A1048">
    <cfRule type="duplicateValues" dxfId="1644" priority="1645" stopIfTrue="1"/>
  </conditionalFormatting>
  <conditionalFormatting sqref="A1047">
    <cfRule type="duplicateValues" dxfId="1643" priority="1644" stopIfTrue="1"/>
  </conditionalFormatting>
  <conditionalFormatting sqref="A1047">
    <cfRule type="duplicateValues" dxfId="1642" priority="1643" stopIfTrue="1"/>
  </conditionalFormatting>
  <conditionalFormatting sqref="A1047">
    <cfRule type="duplicateValues" dxfId="1641" priority="1640" stopIfTrue="1"/>
    <cfRule type="duplicateValues" dxfId="1640" priority="1641" stopIfTrue="1"/>
    <cfRule type="duplicateValues" dxfId="1639" priority="1642" stopIfTrue="1"/>
  </conditionalFormatting>
  <conditionalFormatting sqref="A1047">
    <cfRule type="duplicateValues" dxfId="1638" priority="1638" stopIfTrue="1"/>
    <cfRule type="duplicateValues" dxfId="1637" priority="1639" stopIfTrue="1"/>
  </conditionalFormatting>
  <conditionalFormatting sqref="A1047:A1048">
    <cfRule type="duplicateValues" dxfId="1636" priority="1637" stopIfTrue="1"/>
  </conditionalFormatting>
  <conditionalFormatting sqref="A1047:A1048">
    <cfRule type="duplicateValues" dxfId="1635" priority="1636" stopIfTrue="1"/>
  </conditionalFormatting>
  <conditionalFormatting sqref="A1047:A1048">
    <cfRule type="duplicateValues" dxfId="1634" priority="1633" stopIfTrue="1"/>
    <cfRule type="duplicateValues" dxfId="1633" priority="1634" stopIfTrue="1"/>
    <cfRule type="duplicateValues" dxfId="1632" priority="1635" stopIfTrue="1"/>
  </conditionalFormatting>
  <conditionalFormatting sqref="A1047:A1048">
    <cfRule type="duplicateValues" dxfId="1631" priority="1631" stopIfTrue="1"/>
    <cfRule type="duplicateValues" dxfId="1630" priority="1632" stopIfTrue="1"/>
  </conditionalFormatting>
  <conditionalFormatting sqref="A1046:A1048">
    <cfRule type="duplicateValues" dxfId="1629" priority="1630"/>
  </conditionalFormatting>
  <conditionalFormatting sqref="A1046:A1048">
    <cfRule type="duplicateValues" dxfId="1628" priority="1629"/>
  </conditionalFormatting>
  <conditionalFormatting sqref="A1046:A1048">
    <cfRule type="duplicateValues" dxfId="1627" priority="1628"/>
  </conditionalFormatting>
  <conditionalFormatting sqref="A1046:A1048">
    <cfRule type="duplicateValues" dxfId="1626" priority="1627"/>
  </conditionalFormatting>
  <conditionalFormatting sqref="A1046:A1048">
    <cfRule type="duplicateValues" dxfId="1625" priority="1626"/>
  </conditionalFormatting>
  <conditionalFormatting sqref="A1046:A1048">
    <cfRule type="duplicateValues" dxfId="1624" priority="1624"/>
    <cfRule type="duplicateValues" dxfId="1623" priority="1625"/>
  </conditionalFormatting>
  <conditionalFormatting sqref="A1046:A1048">
    <cfRule type="duplicateValues" dxfId="1622" priority="1623"/>
  </conditionalFormatting>
  <conditionalFormatting sqref="A1046:A1048">
    <cfRule type="duplicateValues" dxfId="1621" priority="1622"/>
  </conditionalFormatting>
  <conditionalFormatting sqref="A1046:A1048">
    <cfRule type="duplicateValues" dxfId="1620" priority="1619"/>
    <cfRule type="duplicateValues" dxfId="1619" priority="1620"/>
    <cfRule type="duplicateValues" dxfId="1618" priority="1621"/>
  </conditionalFormatting>
  <conditionalFormatting sqref="A1046:A1048">
    <cfRule type="duplicateValues" dxfId="1617" priority="1618"/>
  </conditionalFormatting>
  <conditionalFormatting sqref="A1046:A1048">
    <cfRule type="duplicateValues" dxfId="1616" priority="1617"/>
  </conditionalFormatting>
  <conditionalFormatting sqref="A1046:A1048">
    <cfRule type="duplicateValues" dxfId="1615" priority="1616"/>
  </conditionalFormatting>
  <conditionalFormatting sqref="A1046:A1048">
    <cfRule type="duplicateValues" dxfId="1614" priority="1615"/>
  </conditionalFormatting>
  <conditionalFormatting sqref="A1046:A1048">
    <cfRule type="duplicateValues" dxfId="1613" priority="1614"/>
  </conditionalFormatting>
  <conditionalFormatting sqref="A1046:A1048">
    <cfRule type="duplicateValues" dxfId="1612" priority="1613"/>
  </conditionalFormatting>
  <conditionalFormatting sqref="A1046:A1048">
    <cfRule type="duplicateValues" dxfId="1611" priority="1612"/>
  </conditionalFormatting>
  <conditionalFormatting sqref="A1046:A1048">
    <cfRule type="duplicateValues" dxfId="1610" priority="1611"/>
  </conditionalFormatting>
  <conditionalFormatting sqref="A1046:A1048">
    <cfRule type="duplicateValues" dxfId="1609" priority="1610"/>
  </conditionalFormatting>
  <conditionalFormatting sqref="A1046:A1048">
    <cfRule type="duplicateValues" dxfId="1608" priority="1609"/>
  </conditionalFormatting>
  <conditionalFormatting sqref="A1046:A1048">
    <cfRule type="duplicateValues" dxfId="1607" priority="1608"/>
  </conditionalFormatting>
  <conditionalFormatting sqref="A1046:A1048">
    <cfRule type="duplicateValues" dxfId="1606" priority="1607"/>
  </conditionalFormatting>
  <conditionalFormatting sqref="A1046:A1048">
    <cfRule type="duplicateValues" dxfId="1605" priority="1606"/>
  </conditionalFormatting>
  <conditionalFormatting sqref="A1046:A1048">
    <cfRule type="duplicateValues" dxfId="1604" priority="1605"/>
  </conditionalFormatting>
  <conditionalFormatting sqref="A1046:A1048">
    <cfRule type="duplicateValues" dxfId="1603" priority="1604"/>
  </conditionalFormatting>
  <conditionalFormatting sqref="A1046:A1048">
    <cfRule type="duplicateValues" dxfId="1602" priority="1602"/>
    <cfRule type="duplicateValues" dxfId="1601" priority="1603"/>
  </conditionalFormatting>
  <conditionalFormatting sqref="A1046:A1048">
    <cfRule type="duplicateValues" dxfId="1600" priority="1601"/>
  </conditionalFormatting>
  <conditionalFormatting sqref="A1046:A1048">
    <cfRule type="duplicateValues" dxfId="1599" priority="1600"/>
  </conditionalFormatting>
  <conditionalFormatting sqref="A1046:A1048">
    <cfRule type="duplicateValues" dxfId="1598" priority="1599"/>
  </conditionalFormatting>
  <conditionalFormatting sqref="A1046:A1048">
    <cfRule type="duplicateValues" dxfId="1597" priority="1597"/>
    <cfRule type="duplicateValues" dxfId="1596" priority="1598"/>
  </conditionalFormatting>
  <conditionalFormatting sqref="A1046:A1048">
    <cfRule type="duplicateValues" dxfId="1595" priority="1596"/>
  </conditionalFormatting>
  <conditionalFormatting sqref="A1046:A1048">
    <cfRule type="duplicateValues" dxfId="1594" priority="1595"/>
  </conditionalFormatting>
  <conditionalFormatting sqref="A1046:A1048">
    <cfRule type="duplicateValues" dxfId="1593" priority="1593"/>
    <cfRule type="duplicateValues" dxfId="1592" priority="1594"/>
  </conditionalFormatting>
  <conditionalFormatting sqref="A1046:A1048">
    <cfRule type="duplicateValues" dxfId="1591" priority="1592" stopIfTrue="1"/>
  </conditionalFormatting>
  <conditionalFormatting sqref="A1046:A1048">
    <cfRule type="duplicateValues" dxfId="1590" priority="1591" stopIfTrue="1"/>
  </conditionalFormatting>
  <conditionalFormatting sqref="A1046:A1048">
    <cfRule type="duplicateValues" dxfId="1589" priority="1590" stopIfTrue="1"/>
  </conditionalFormatting>
  <conditionalFormatting sqref="A1046:A1048">
    <cfRule type="duplicateValues" dxfId="1588" priority="1589" stopIfTrue="1"/>
  </conditionalFormatting>
  <conditionalFormatting sqref="A1046:A1048">
    <cfRule type="duplicateValues" dxfId="1587" priority="1588" stopIfTrue="1"/>
  </conditionalFormatting>
  <conditionalFormatting sqref="A1046:A1048">
    <cfRule type="duplicateValues" dxfId="1586" priority="1587" stopIfTrue="1"/>
  </conditionalFormatting>
  <conditionalFormatting sqref="A1046:A1048">
    <cfRule type="duplicateValues" dxfId="1585" priority="1584" stopIfTrue="1"/>
    <cfRule type="duplicateValues" dxfId="1584" priority="1585" stopIfTrue="1"/>
    <cfRule type="duplicateValues" dxfId="1583" priority="1586" stopIfTrue="1"/>
  </conditionalFormatting>
  <conditionalFormatting sqref="A1046:A1048">
    <cfRule type="duplicateValues" dxfId="1582" priority="1583" stopIfTrue="1"/>
  </conditionalFormatting>
  <conditionalFormatting sqref="A1046:A1048">
    <cfRule type="duplicateValues" dxfId="1581" priority="1582" stopIfTrue="1"/>
  </conditionalFormatting>
  <conditionalFormatting sqref="A1046:A1048">
    <cfRule type="duplicateValues" dxfId="1580" priority="1580" stopIfTrue="1"/>
    <cfRule type="duplicateValues" dxfId="1579" priority="1581" stopIfTrue="1"/>
  </conditionalFormatting>
  <conditionalFormatting sqref="A1046:A1048">
    <cfRule type="duplicateValues" dxfId="1578" priority="1577" stopIfTrue="1"/>
    <cfRule type="duplicateValues" dxfId="1577" priority="1578" stopIfTrue="1"/>
    <cfRule type="cellIs" dxfId="1576" priority="1579" stopIfTrue="1" operator="equal">
      <formula>25504</formula>
    </cfRule>
  </conditionalFormatting>
  <conditionalFormatting sqref="A1046:A1048">
    <cfRule type="duplicateValues" dxfId="1575" priority="1576" stopIfTrue="1"/>
  </conditionalFormatting>
  <conditionalFormatting sqref="A1046:A1048">
    <cfRule type="duplicateValues" dxfId="1574" priority="1574" stopIfTrue="1"/>
    <cfRule type="duplicateValues" dxfId="1573" priority="1575" stopIfTrue="1"/>
  </conditionalFormatting>
  <conditionalFormatting sqref="A1046:A1048">
    <cfRule type="duplicateValues" dxfId="1572" priority="1573" stopIfTrue="1"/>
  </conditionalFormatting>
  <conditionalFormatting sqref="A1046:A1048">
    <cfRule type="duplicateValues" dxfId="1571" priority="1572" stopIfTrue="1"/>
  </conditionalFormatting>
  <conditionalFormatting sqref="A1046:A1048">
    <cfRule type="duplicateValues" dxfId="1570" priority="1571" stopIfTrue="1"/>
  </conditionalFormatting>
  <conditionalFormatting sqref="A1046:A1048">
    <cfRule type="duplicateValues" dxfId="1569" priority="1568" stopIfTrue="1"/>
    <cfRule type="duplicateValues" dxfId="1568" priority="1569" stopIfTrue="1"/>
    <cfRule type="duplicateValues" dxfId="1567" priority="1570" stopIfTrue="1"/>
  </conditionalFormatting>
  <conditionalFormatting sqref="A1046:A1048">
    <cfRule type="duplicateValues" dxfId="1566" priority="1567" stopIfTrue="1"/>
  </conditionalFormatting>
  <conditionalFormatting sqref="A1046:A1048">
    <cfRule type="duplicateValues" dxfId="1565" priority="1566" stopIfTrue="1"/>
  </conditionalFormatting>
  <conditionalFormatting sqref="A1046:A1048">
    <cfRule type="duplicateValues" dxfId="1564" priority="1565" stopIfTrue="1"/>
  </conditionalFormatting>
  <conditionalFormatting sqref="A1046:A1048">
    <cfRule type="duplicateValues" dxfId="1563" priority="1564" stopIfTrue="1"/>
  </conditionalFormatting>
  <conditionalFormatting sqref="A1046:A1048">
    <cfRule type="duplicateValues" dxfId="1562" priority="1562" stopIfTrue="1"/>
    <cfRule type="duplicateValues" dxfId="1561" priority="1563" stopIfTrue="1"/>
  </conditionalFormatting>
  <conditionalFormatting sqref="A1046:A1048">
    <cfRule type="duplicateValues" dxfId="1560" priority="1561" stopIfTrue="1"/>
  </conditionalFormatting>
  <conditionalFormatting sqref="A1046:A1048">
    <cfRule type="duplicateValues" dxfId="1559" priority="1560" stopIfTrue="1"/>
  </conditionalFormatting>
  <conditionalFormatting sqref="A1046:A1048">
    <cfRule type="duplicateValues" dxfId="1558" priority="1559" stopIfTrue="1"/>
  </conditionalFormatting>
  <conditionalFormatting sqref="A1046:A1048">
    <cfRule type="duplicateValues" dxfId="1557" priority="1556" stopIfTrue="1"/>
    <cfRule type="duplicateValues" dxfId="1556" priority="1557" stopIfTrue="1"/>
    <cfRule type="duplicateValues" dxfId="1555" priority="1558" stopIfTrue="1"/>
  </conditionalFormatting>
  <conditionalFormatting sqref="A1046:A1048">
    <cfRule type="duplicateValues" dxfId="1554" priority="1555" stopIfTrue="1"/>
  </conditionalFormatting>
  <conditionalFormatting sqref="A1046:A1048">
    <cfRule type="duplicateValues" dxfId="1553" priority="1554" stopIfTrue="1"/>
  </conditionalFormatting>
  <conditionalFormatting sqref="A1046:A1048">
    <cfRule type="duplicateValues" dxfId="1552" priority="1552" stopIfTrue="1"/>
    <cfRule type="duplicateValues" dxfId="1551" priority="1553" stopIfTrue="1"/>
  </conditionalFormatting>
  <conditionalFormatting sqref="A1046:A1048">
    <cfRule type="duplicateValues" dxfId="1550" priority="1551" stopIfTrue="1"/>
  </conditionalFormatting>
  <conditionalFormatting sqref="A1046:A1048">
    <cfRule type="duplicateValues" dxfId="1549" priority="1550" stopIfTrue="1"/>
  </conditionalFormatting>
  <conditionalFormatting sqref="A1046:A1048">
    <cfRule type="duplicateValues" dxfId="1548" priority="1549" stopIfTrue="1"/>
  </conditionalFormatting>
  <conditionalFormatting sqref="A1046:A1047">
    <cfRule type="duplicateValues" dxfId="1547" priority="1548" stopIfTrue="1"/>
  </conditionalFormatting>
  <conditionalFormatting sqref="A1046:A1047">
    <cfRule type="duplicateValues" dxfId="1546" priority="1547" stopIfTrue="1"/>
  </conditionalFormatting>
  <conditionalFormatting sqref="A1046:A1047">
    <cfRule type="duplicateValues" dxfId="1545" priority="1544" stopIfTrue="1"/>
    <cfRule type="duplicateValues" dxfId="1544" priority="1545" stopIfTrue="1"/>
    <cfRule type="duplicateValues" dxfId="1543" priority="1546" stopIfTrue="1"/>
  </conditionalFormatting>
  <conditionalFormatting sqref="A1046:A1047">
    <cfRule type="duplicateValues" dxfId="1542" priority="1542" stopIfTrue="1"/>
    <cfRule type="duplicateValues" dxfId="1541" priority="1543" stopIfTrue="1"/>
  </conditionalFormatting>
  <conditionalFormatting sqref="A1047:A1048">
    <cfRule type="duplicateValues" dxfId="1540" priority="1541" stopIfTrue="1"/>
  </conditionalFormatting>
  <conditionalFormatting sqref="A1047:A1048">
    <cfRule type="duplicateValues" dxfId="1539" priority="1540" stopIfTrue="1"/>
  </conditionalFormatting>
  <conditionalFormatting sqref="A1047:A1048">
    <cfRule type="duplicateValues" dxfId="1538" priority="1537" stopIfTrue="1"/>
    <cfRule type="duplicateValues" dxfId="1537" priority="1538" stopIfTrue="1"/>
    <cfRule type="duplicateValues" dxfId="1536" priority="1539" stopIfTrue="1"/>
  </conditionalFormatting>
  <conditionalFormatting sqref="A1047:A1048">
    <cfRule type="duplicateValues" dxfId="1535" priority="1535" stopIfTrue="1"/>
    <cfRule type="duplicateValues" dxfId="1534" priority="1536" stopIfTrue="1"/>
  </conditionalFormatting>
  <conditionalFormatting sqref="A1048">
    <cfRule type="duplicateValues" dxfId="1533" priority="1534" stopIfTrue="1"/>
  </conditionalFormatting>
  <conditionalFormatting sqref="A1048">
    <cfRule type="duplicateValues" dxfId="1532" priority="1533" stopIfTrue="1"/>
  </conditionalFormatting>
  <conditionalFormatting sqref="A1048">
    <cfRule type="duplicateValues" dxfId="1531" priority="1530" stopIfTrue="1"/>
    <cfRule type="duplicateValues" dxfId="1530" priority="1531" stopIfTrue="1"/>
    <cfRule type="duplicateValues" dxfId="1529" priority="1532" stopIfTrue="1"/>
  </conditionalFormatting>
  <conditionalFormatting sqref="A1048">
    <cfRule type="duplicateValues" dxfId="1528" priority="1528" stopIfTrue="1"/>
    <cfRule type="duplicateValues" dxfId="1527" priority="1529" stopIfTrue="1"/>
  </conditionalFormatting>
  <conditionalFormatting sqref="A1048">
    <cfRule type="duplicateValues" dxfId="1526" priority="1527" stopIfTrue="1"/>
  </conditionalFormatting>
  <conditionalFormatting sqref="A1048">
    <cfRule type="duplicateValues" dxfId="1525" priority="1526" stopIfTrue="1"/>
  </conditionalFormatting>
  <conditionalFormatting sqref="A1048">
    <cfRule type="duplicateValues" dxfId="1524" priority="1523" stopIfTrue="1"/>
    <cfRule type="duplicateValues" dxfId="1523" priority="1524" stopIfTrue="1"/>
    <cfRule type="duplicateValues" dxfId="1522" priority="1525" stopIfTrue="1"/>
  </conditionalFormatting>
  <conditionalFormatting sqref="A1048">
    <cfRule type="duplicateValues" dxfId="1521" priority="1521" stopIfTrue="1"/>
    <cfRule type="duplicateValues" dxfId="1520" priority="1522" stopIfTrue="1"/>
  </conditionalFormatting>
  <conditionalFormatting sqref="A1050:A1051">
    <cfRule type="duplicateValues" dxfId="1519" priority="1520"/>
  </conditionalFormatting>
  <conditionalFormatting sqref="A1050:A1051">
    <cfRule type="duplicateValues" dxfId="1518" priority="1519"/>
  </conditionalFormatting>
  <conditionalFormatting sqref="A1050:A1051">
    <cfRule type="duplicateValues" dxfId="1517" priority="1518"/>
  </conditionalFormatting>
  <conditionalFormatting sqref="A1050:A1051">
    <cfRule type="duplicateValues" dxfId="1516" priority="1517"/>
  </conditionalFormatting>
  <conditionalFormatting sqref="A1050:A1051">
    <cfRule type="duplicateValues" dxfId="1515" priority="1516"/>
  </conditionalFormatting>
  <conditionalFormatting sqref="A1050:A1051">
    <cfRule type="duplicateValues" dxfId="1514" priority="1514"/>
    <cfRule type="duplicateValues" dxfId="1513" priority="1515"/>
  </conditionalFormatting>
  <conditionalFormatting sqref="A1050:A1051">
    <cfRule type="duplicateValues" dxfId="1512" priority="1513"/>
  </conditionalFormatting>
  <conditionalFormatting sqref="A1050:A1051">
    <cfRule type="duplicateValues" dxfId="1511" priority="1512"/>
  </conditionalFormatting>
  <conditionalFormatting sqref="A1050:A1051">
    <cfRule type="duplicateValues" dxfId="1510" priority="1509"/>
    <cfRule type="duplicateValues" dxfId="1509" priority="1510"/>
    <cfRule type="duplicateValues" dxfId="1508" priority="1511"/>
  </conditionalFormatting>
  <conditionalFormatting sqref="A1050:A1051">
    <cfRule type="duplicateValues" dxfId="1507" priority="1508"/>
  </conditionalFormatting>
  <conditionalFormatting sqref="A1050:A1051">
    <cfRule type="duplicateValues" dxfId="1506" priority="1507"/>
  </conditionalFormatting>
  <conditionalFormatting sqref="A1050:A1051">
    <cfRule type="duplicateValues" dxfId="1505" priority="1506"/>
  </conditionalFormatting>
  <conditionalFormatting sqref="A1050:A1051">
    <cfRule type="duplicateValues" dxfId="1504" priority="1505"/>
  </conditionalFormatting>
  <conditionalFormatting sqref="A1050:A1051">
    <cfRule type="duplicateValues" dxfId="1503" priority="1504"/>
  </conditionalFormatting>
  <conditionalFormatting sqref="A1050:A1051">
    <cfRule type="duplicateValues" dxfId="1502" priority="1503"/>
  </conditionalFormatting>
  <conditionalFormatting sqref="A1050:A1051">
    <cfRule type="duplicateValues" dxfId="1501" priority="1502"/>
  </conditionalFormatting>
  <conditionalFormatting sqref="A1050:A1051">
    <cfRule type="duplicateValues" dxfId="1500" priority="1501"/>
  </conditionalFormatting>
  <conditionalFormatting sqref="A1050:A1051">
    <cfRule type="duplicateValues" dxfId="1499" priority="1500"/>
  </conditionalFormatting>
  <conditionalFormatting sqref="A1050:A1051">
    <cfRule type="duplicateValues" dxfId="1498" priority="1499"/>
  </conditionalFormatting>
  <conditionalFormatting sqref="A1050:A1051">
    <cfRule type="duplicateValues" dxfId="1497" priority="1498"/>
  </conditionalFormatting>
  <conditionalFormatting sqref="A1050:A1051">
    <cfRule type="duplicateValues" dxfId="1496" priority="1497"/>
  </conditionalFormatting>
  <conditionalFormatting sqref="A1050:A1051">
    <cfRule type="duplicateValues" dxfId="1495" priority="1496"/>
  </conditionalFormatting>
  <conditionalFormatting sqref="A1050:A1051">
    <cfRule type="duplicateValues" dxfId="1494" priority="1495"/>
  </conditionalFormatting>
  <conditionalFormatting sqref="A1050:A1051">
    <cfRule type="duplicateValues" dxfId="1493" priority="1494"/>
  </conditionalFormatting>
  <conditionalFormatting sqref="A1050:A1051">
    <cfRule type="duplicateValues" dxfId="1492" priority="1492"/>
    <cfRule type="duplicateValues" dxfId="1491" priority="1493"/>
  </conditionalFormatting>
  <conditionalFormatting sqref="A1050:A1051">
    <cfRule type="duplicateValues" dxfId="1490" priority="1491"/>
  </conditionalFormatting>
  <conditionalFormatting sqref="A1050:A1051">
    <cfRule type="duplicateValues" dxfId="1489" priority="1490"/>
  </conditionalFormatting>
  <conditionalFormatting sqref="A1050:A1051">
    <cfRule type="duplicateValues" dxfId="1488" priority="1489"/>
  </conditionalFormatting>
  <conditionalFormatting sqref="A1050:A1051">
    <cfRule type="duplicateValues" dxfId="1487" priority="1487"/>
    <cfRule type="duplicateValues" dxfId="1486" priority="1488"/>
  </conditionalFormatting>
  <conditionalFormatting sqref="A1050:A1051">
    <cfRule type="duplicateValues" dxfId="1485" priority="1486"/>
  </conditionalFormatting>
  <conditionalFormatting sqref="A1050:A1051">
    <cfRule type="duplicateValues" dxfId="1484" priority="1485"/>
  </conditionalFormatting>
  <conditionalFormatting sqref="A1050:A1051">
    <cfRule type="duplicateValues" dxfId="1483" priority="1483"/>
    <cfRule type="duplicateValues" dxfId="1482" priority="1484"/>
  </conditionalFormatting>
  <conditionalFormatting sqref="A1050:A1051">
    <cfRule type="duplicateValues" dxfId="1481" priority="1482" stopIfTrue="1"/>
  </conditionalFormatting>
  <conditionalFormatting sqref="A1050:A1051">
    <cfRule type="duplicateValues" dxfId="1480" priority="1481" stopIfTrue="1"/>
  </conditionalFormatting>
  <conditionalFormatting sqref="A1050:A1051">
    <cfRule type="duplicateValues" dxfId="1479" priority="1480" stopIfTrue="1"/>
  </conditionalFormatting>
  <conditionalFormatting sqref="A1050:A1051">
    <cfRule type="duplicateValues" dxfId="1478" priority="1479" stopIfTrue="1"/>
  </conditionalFormatting>
  <conditionalFormatting sqref="A1050:A1051">
    <cfRule type="duplicateValues" dxfId="1477" priority="1478" stopIfTrue="1"/>
  </conditionalFormatting>
  <conditionalFormatting sqref="A1050:A1051">
    <cfRule type="duplicateValues" dxfId="1476" priority="1477" stopIfTrue="1"/>
  </conditionalFormatting>
  <conditionalFormatting sqref="A1050:A1051">
    <cfRule type="duplicateValues" dxfId="1475" priority="1474" stopIfTrue="1"/>
    <cfRule type="duplicateValues" dxfId="1474" priority="1475" stopIfTrue="1"/>
    <cfRule type="duplicateValues" dxfId="1473" priority="1476" stopIfTrue="1"/>
  </conditionalFormatting>
  <conditionalFormatting sqref="A1050:A1051">
    <cfRule type="duplicateValues" dxfId="1472" priority="1473" stopIfTrue="1"/>
  </conditionalFormatting>
  <conditionalFormatting sqref="A1050:A1051">
    <cfRule type="duplicateValues" dxfId="1471" priority="1472" stopIfTrue="1"/>
  </conditionalFormatting>
  <conditionalFormatting sqref="A1050:A1051">
    <cfRule type="duplicateValues" dxfId="1470" priority="1470" stopIfTrue="1"/>
    <cfRule type="duplicateValues" dxfId="1469" priority="1471" stopIfTrue="1"/>
  </conditionalFormatting>
  <conditionalFormatting sqref="A1050:A1051">
    <cfRule type="duplicateValues" dxfId="1468" priority="1467" stopIfTrue="1"/>
    <cfRule type="duplicateValues" dxfId="1467" priority="1468" stopIfTrue="1"/>
    <cfRule type="cellIs" dxfId="1466" priority="1469" stopIfTrue="1" operator="equal">
      <formula>25504</formula>
    </cfRule>
  </conditionalFormatting>
  <conditionalFormatting sqref="A1050:A1051">
    <cfRule type="duplicateValues" dxfId="1465" priority="1466" stopIfTrue="1"/>
  </conditionalFormatting>
  <conditionalFormatting sqref="A1050:A1051">
    <cfRule type="duplicateValues" dxfId="1464" priority="1464" stopIfTrue="1"/>
    <cfRule type="duplicateValues" dxfId="1463" priority="1465" stopIfTrue="1"/>
  </conditionalFormatting>
  <conditionalFormatting sqref="A1050:A1051">
    <cfRule type="duplicateValues" dxfId="1462" priority="1463" stopIfTrue="1"/>
  </conditionalFormatting>
  <conditionalFormatting sqref="A1050:A1051">
    <cfRule type="duplicateValues" dxfId="1461" priority="1462" stopIfTrue="1"/>
  </conditionalFormatting>
  <conditionalFormatting sqref="A1050:A1051">
    <cfRule type="duplicateValues" dxfId="1460" priority="1461" stopIfTrue="1"/>
  </conditionalFormatting>
  <conditionalFormatting sqref="A1050:A1051">
    <cfRule type="duplicateValues" dxfId="1459" priority="1458" stopIfTrue="1"/>
    <cfRule type="duplicateValues" dxfId="1458" priority="1459" stopIfTrue="1"/>
    <cfRule type="duplicateValues" dxfId="1457" priority="1460" stopIfTrue="1"/>
  </conditionalFormatting>
  <conditionalFormatting sqref="A1050:A1051">
    <cfRule type="duplicateValues" dxfId="1456" priority="1457" stopIfTrue="1"/>
  </conditionalFormatting>
  <conditionalFormatting sqref="A1050:A1051">
    <cfRule type="duplicateValues" dxfId="1455" priority="1456" stopIfTrue="1"/>
  </conditionalFormatting>
  <conditionalFormatting sqref="A1050:A1051">
    <cfRule type="duplicateValues" dxfId="1454" priority="1455" stopIfTrue="1"/>
  </conditionalFormatting>
  <conditionalFormatting sqref="A1050:A1051">
    <cfRule type="duplicateValues" dxfId="1453" priority="1454" stopIfTrue="1"/>
  </conditionalFormatting>
  <conditionalFormatting sqref="A1050:A1051">
    <cfRule type="duplicateValues" dxfId="1452" priority="1452" stopIfTrue="1"/>
    <cfRule type="duplicateValues" dxfId="1451" priority="1453" stopIfTrue="1"/>
  </conditionalFormatting>
  <conditionalFormatting sqref="A1050:A1051">
    <cfRule type="duplicateValues" dxfId="1450" priority="1451" stopIfTrue="1"/>
  </conditionalFormatting>
  <conditionalFormatting sqref="A1050:A1051">
    <cfRule type="duplicateValues" dxfId="1449" priority="1450" stopIfTrue="1"/>
  </conditionalFormatting>
  <conditionalFormatting sqref="A1050:A1051">
    <cfRule type="duplicateValues" dxfId="1448" priority="1449" stopIfTrue="1"/>
  </conditionalFormatting>
  <conditionalFormatting sqref="A1050:A1051">
    <cfRule type="duplicateValues" dxfId="1447" priority="1446" stopIfTrue="1"/>
    <cfRule type="duplicateValues" dxfId="1446" priority="1447" stopIfTrue="1"/>
    <cfRule type="duplicateValues" dxfId="1445" priority="1448" stopIfTrue="1"/>
  </conditionalFormatting>
  <conditionalFormatting sqref="A1050:A1051">
    <cfRule type="duplicateValues" dxfId="1444" priority="1445" stopIfTrue="1"/>
  </conditionalFormatting>
  <conditionalFormatting sqref="A1050:A1051">
    <cfRule type="duplicateValues" dxfId="1443" priority="1444" stopIfTrue="1"/>
  </conditionalFormatting>
  <conditionalFormatting sqref="A1050:A1051">
    <cfRule type="duplicateValues" dxfId="1442" priority="1442" stopIfTrue="1"/>
    <cfRule type="duplicateValues" dxfId="1441" priority="1443" stopIfTrue="1"/>
  </conditionalFormatting>
  <conditionalFormatting sqref="A1050:A1051">
    <cfRule type="duplicateValues" dxfId="1440" priority="1441" stopIfTrue="1"/>
  </conditionalFormatting>
  <conditionalFormatting sqref="A1050:A1051">
    <cfRule type="duplicateValues" dxfId="1439" priority="1440" stopIfTrue="1"/>
  </conditionalFormatting>
  <conditionalFormatting sqref="A1050:A1051">
    <cfRule type="duplicateValues" dxfId="1438" priority="1439" stopIfTrue="1"/>
  </conditionalFormatting>
  <conditionalFormatting sqref="A1050:A1051">
    <cfRule type="duplicateValues" dxfId="1437" priority="1438"/>
  </conditionalFormatting>
  <conditionalFormatting sqref="A1050:A1051">
    <cfRule type="duplicateValues" dxfId="1436" priority="1437"/>
  </conditionalFormatting>
  <conditionalFormatting sqref="A1050:A1051">
    <cfRule type="duplicateValues" dxfId="1435" priority="1436"/>
  </conditionalFormatting>
  <conditionalFormatting sqref="A1050:A1051">
    <cfRule type="duplicateValues" dxfId="1434" priority="1435"/>
  </conditionalFormatting>
  <conditionalFormatting sqref="A1050:A1051">
    <cfRule type="duplicateValues" dxfId="1433" priority="1434"/>
  </conditionalFormatting>
  <conditionalFormatting sqref="A1050:A1051">
    <cfRule type="duplicateValues" dxfId="1432" priority="1432"/>
    <cfRule type="duplicateValues" dxfId="1431" priority="1433"/>
  </conditionalFormatting>
  <conditionalFormatting sqref="A1050:A1051">
    <cfRule type="duplicateValues" dxfId="1430" priority="1431"/>
  </conditionalFormatting>
  <conditionalFormatting sqref="A1050:A1051">
    <cfRule type="duplicateValues" dxfId="1429" priority="1430"/>
  </conditionalFormatting>
  <conditionalFormatting sqref="A1050:A1051">
    <cfRule type="duplicateValues" dxfId="1428" priority="1427"/>
    <cfRule type="duplicateValues" dxfId="1427" priority="1428"/>
    <cfRule type="duplicateValues" dxfId="1426" priority="1429"/>
  </conditionalFormatting>
  <conditionalFormatting sqref="A1050:A1051">
    <cfRule type="duplicateValues" dxfId="1425" priority="1426"/>
  </conditionalFormatting>
  <conditionalFormatting sqref="A1050:A1051">
    <cfRule type="duplicateValues" dxfId="1424" priority="1425"/>
  </conditionalFormatting>
  <conditionalFormatting sqref="A1050:A1051">
    <cfRule type="duplicateValues" dxfId="1423" priority="1424"/>
  </conditionalFormatting>
  <conditionalFormatting sqref="A1050:A1051">
    <cfRule type="duplicateValues" dxfId="1422" priority="1423"/>
  </conditionalFormatting>
  <conditionalFormatting sqref="A1050:A1051">
    <cfRule type="duplicateValues" dxfId="1421" priority="1422"/>
  </conditionalFormatting>
  <conditionalFormatting sqref="A1050:A1051">
    <cfRule type="duplicateValues" dxfId="1420" priority="1421"/>
  </conditionalFormatting>
  <conditionalFormatting sqref="A1050:A1051">
    <cfRule type="duplicateValues" dxfId="1419" priority="1420"/>
  </conditionalFormatting>
  <conditionalFormatting sqref="A1050:A1051">
    <cfRule type="duplicateValues" dxfId="1418" priority="1419"/>
  </conditionalFormatting>
  <conditionalFormatting sqref="A1050:A1051">
    <cfRule type="duplicateValues" dxfId="1417" priority="1418"/>
  </conditionalFormatting>
  <conditionalFormatting sqref="A1050:A1051">
    <cfRule type="duplicateValues" dxfId="1416" priority="1417"/>
  </conditionalFormatting>
  <conditionalFormatting sqref="A1050:A1051">
    <cfRule type="duplicateValues" dxfId="1415" priority="1416"/>
  </conditionalFormatting>
  <conditionalFormatting sqref="A1050:A1051">
    <cfRule type="duplicateValues" dxfId="1414" priority="1415"/>
  </conditionalFormatting>
  <conditionalFormatting sqref="A1050:A1051">
    <cfRule type="duplicateValues" dxfId="1413" priority="1414"/>
  </conditionalFormatting>
  <conditionalFormatting sqref="A1050:A1051">
    <cfRule type="duplicateValues" dxfId="1412" priority="1413"/>
  </conditionalFormatting>
  <conditionalFormatting sqref="A1050:A1051">
    <cfRule type="duplicateValues" dxfId="1411" priority="1412"/>
  </conditionalFormatting>
  <conditionalFormatting sqref="A1050:A1051">
    <cfRule type="duplicateValues" dxfId="1410" priority="1410"/>
    <cfRule type="duplicateValues" dxfId="1409" priority="1411"/>
  </conditionalFormatting>
  <conditionalFormatting sqref="A1050:A1051">
    <cfRule type="duplicateValues" dxfId="1408" priority="1409"/>
  </conditionalFormatting>
  <conditionalFormatting sqref="A1050:A1051">
    <cfRule type="duplicateValues" dxfId="1407" priority="1408"/>
  </conditionalFormatting>
  <conditionalFormatting sqref="A1050:A1051">
    <cfRule type="duplicateValues" dxfId="1406" priority="1407"/>
  </conditionalFormatting>
  <conditionalFormatting sqref="A1050:A1051">
    <cfRule type="duplicateValues" dxfId="1405" priority="1405"/>
    <cfRule type="duplicateValues" dxfId="1404" priority="1406"/>
  </conditionalFormatting>
  <conditionalFormatting sqref="A1050:A1051">
    <cfRule type="duplicateValues" dxfId="1403" priority="1404"/>
  </conditionalFormatting>
  <conditionalFormatting sqref="A1050:A1051">
    <cfRule type="duplicateValues" dxfId="1402" priority="1403"/>
  </conditionalFormatting>
  <conditionalFormatting sqref="A1050:A1051">
    <cfRule type="duplicateValues" dxfId="1401" priority="1401"/>
    <cfRule type="duplicateValues" dxfId="1400" priority="1402"/>
  </conditionalFormatting>
  <conditionalFormatting sqref="A1050:A1051">
    <cfRule type="duplicateValues" dxfId="1399" priority="1398" stopIfTrue="1"/>
    <cfRule type="duplicateValues" dxfId="1398" priority="1399" stopIfTrue="1"/>
    <cfRule type="cellIs" dxfId="1397" priority="1400" stopIfTrue="1" operator="equal">
      <formula>25504</formula>
    </cfRule>
  </conditionalFormatting>
  <conditionalFormatting sqref="A1050:A1051">
    <cfRule type="duplicateValues" dxfId="1396" priority="1397" stopIfTrue="1"/>
  </conditionalFormatting>
  <conditionalFormatting sqref="A1050:A1051">
    <cfRule type="duplicateValues" dxfId="1395" priority="1394" stopIfTrue="1"/>
    <cfRule type="duplicateValues" dxfId="1394" priority="1395" stopIfTrue="1"/>
    <cfRule type="duplicateValues" dxfId="1393" priority="1396" stopIfTrue="1"/>
  </conditionalFormatting>
  <conditionalFormatting sqref="A1050:A1051">
    <cfRule type="duplicateValues" dxfId="1392" priority="1392" stopIfTrue="1"/>
    <cfRule type="duplicateValues" dxfId="1391" priority="1393" stopIfTrue="1"/>
  </conditionalFormatting>
  <conditionalFormatting sqref="A1050:A1051">
    <cfRule type="duplicateValues" dxfId="1390" priority="1389" stopIfTrue="1"/>
    <cfRule type="duplicateValues" dxfId="1389" priority="1390" stopIfTrue="1"/>
    <cfRule type="cellIs" dxfId="1388" priority="1391" stopIfTrue="1" operator="equal">
      <formula>25504</formula>
    </cfRule>
  </conditionalFormatting>
  <conditionalFormatting sqref="A1050:A1051">
    <cfRule type="duplicateValues" dxfId="1387" priority="1388" stopIfTrue="1"/>
  </conditionalFormatting>
  <conditionalFormatting sqref="A1050:A1051">
    <cfRule type="duplicateValues" dxfId="1386" priority="1385" stopIfTrue="1"/>
    <cfRule type="duplicateValues" dxfId="1385" priority="1386" stopIfTrue="1"/>
    <cfRule type="duplicateValues" dxfId="1384" priority="1387" stopIfTrue="1"/>
  </conditionalFormatting>
  <conditionalFormatting sqref="A1050:A1051">
    <cfRule type="duplicateValues" dxfId="1383" priority="1383" stopIfTrue="1"/>
    <cfRule type="duplicateValues" dxfId="1382" priority="1384" stopIfTrue="1"/>
  </conditionalFormatting>
  <conditionalFormatting sqref="A1050:A1051">
    <cfRule type="duplicateValues" dxfId="1381" priority="1382" stopIfTrue="1"/>
  </conditionalFormatting>
  <conditionalFormatting sqref="A1050:A1051">
    <cfRule type="duplicateValues" dxfId="1380" priority="1381"/>
  </conditionalFormatting>
  <conditionalFormatting sqref="A1050:A1051">
    <cfRule type="duplicateValues" dxfId="1379" priority="1378"/>
    <cfRule type="duplicateValues" dxfId="1378" priority="1379"/>
    <cfRule type="duplicateValues" dxfId="1377" priority="1380"/>
  </conditionalFormatting>
  <conditionalFormatting sqref="A1050:A1051">
    <cfRule type="duplicateValues" dxfId="1376" priority="1377"/>
  </conditionalFormatting>
  <conditionalFormatting sqref="A1050:A1051">
    <cfRule type="duplicateValues" dxfId="1375" priority="1376"/>
  </conditionalFormatting>
  <conditionalFormatting sqref="A1050:A1051">
    <cfRule type="duplicateValues" dxfId="1374" priority="1375"/>
  </conditionalFormatting>
  <conditionalFormatting sqref="A1050:A1051">
    <cfRule type="duplicateValues" dxfId="1373" priority="1374"/>
  </conditionalFormatting>
  <conditionalFormatting sqref="A1050:A1051">
    <cfRule type="duplicateValues" dxfId="1372" priority="1373"/>
  </conditionalFormatting>
  <conditionalFormatting sqref="A1050:A1051">
    <cfRule type="duplicateValues" dxfId="1371" priority="1372"/>
  </conditionalFormatting>
  <conditionalFormatting sqref="A1050:A1051">
    <cfRule type="duplicateValues" dxfId="1370" priority="1371" stopIfTrue="1"/>
  </conditionalFormatting>
  <conditionalFormatting sqref="A1050:A1051">
    <cfRule type="duplicateValues" dxfId="1369" priority="1368" stopIfTrue="1"/>
    <cfRule type="duplicateValues" dxfId="1368" priority="1369" stopIfTrue="1"/>
    <cfRule type="duplicateValues" dxfId="1367" priority="1370" stopIfTrue="1"/>
  </conditionalFormatting>
  <conditionalFormatting sqref="A1050:A1051">
    <cfRule type="duplicateValues" dxfId="1366" priority="1366" stopIfTrue="1"/>
    <cfRule type="duplicateValues" dxfId="1365" priority="1367" stopIfTrue="1"/>
  </conditionalFormatting>
  <conditionalFormatting sqref="A1050:A1051">
    <cfRule type="duplicateValues" dxfId="1364" priority="1363" stopIfTrue="1"/>
    <cfRule type="duplicateValues" dxfId="1363" priority="1364" stopIfTrue="1"/>
    <cfRule type="cellIs" dxfId="1362" priority="1365" stopIfTrue="1" operator="equal">
      <formula>25504</formula>
    </cfRule>
  </conditionalFormatting>
  <conditionalFormatting sqref="A1050:A1051">
    <cfRule type="duplicateValues" dxfId="1361" priority="1362"/>
  </conditionalFormatting>
  <conditionalFormatting sqref="A1050:A1051">
    <cfRule type="duplicateValues" dxfId="1360" priority="1361"/>
  </conditionalFormatting>
  <conditionalFormatting sqref="A1050:A1051">
    <cfRule type="duplicateValues" dxfId="1359" priority="1360"/>
  </conditionalFormatting>
  <conditionalFormatting sqref="A1050:A1051">
    <cfRule type="duplicateValues" dxfId="1358" priority="1359"/>
  </conditionalFormatting>
  <conditionalFormatting sqref="A1050:A1051">
    <cfRule type="duplicateValues" dxfId="1357" priority="1358"/>
  </conditionalFormatting>
  <conditionalFormatting sqref="A1050:A1051">
    <cfRule type="duplicateValues" dxfId="1356" priority="1357"/>
  </conditionalFormatting>
  <conditionalFormatting sqref="A1050:A1051">
    <cfRule type="duplicateValues" dxfId="1355" priority="1354"/>
    <cfRule type="duplicateValues" dxfId="1354" priority="1355"/>
    <cfRule type="duplicateValues" dxfId="1353" priority="1356"/>
  </conditionalFormatting>
  <conditionalFormatting sqref="A1050:A1051">
    <cfRule type="duplicateValues" dxfId="1352" priority="1353"/>
  </conditionalFormatting>
  <conditionalFormatting sqref="A1050:A1051">
    <cfRule type="duplicateValues" dxfId="1351" priority="1352"/>
  </conditionalFormatting>
  <conditionalFormatting sqref="A1050:A1051">
    <cfRule type="duplicateValues" dxfId="1350" priority="1351"/>
  </conditionalFormatting>
  <conditionalFormatting sqref="A1050:A1051">
    <cfRule type="duplicateValues" dxfId="1349" priority="1350"/>
  </conditionalFormatting>
  <conditionalFormatting sqref="A1050:A1051">
    <cfRule type="duplicateValues" dxfId="1348" priority="1349"/>
  </conditionalFormatting>
  <conditionalFormatting sqref="A1050:A1051">
    <cfRule type="duplicateValues" dxfId="1347" priority="1348"/>
  </conditionalFormatting>
  <conditionalFormatting sqref="A1050:A1051">
    <cfRule type="duplicateValues" dxfId="1346" priority="1347" stopIfTrue="1"/>
  </conditionalFormatting>
  <conditionalFormatting sqref="A1050:A1051">
    <cfRule type="duplicateValues" dxfId="1345" priority="1344" stopIfTrue="1"/>
    <cfRule type="duplicateValues" dxfId="1344" priority="1345" stopIfTrue="1"/>
    <cfRule type="duplicateValues" dxfId="1343" priority="1346" stopIfTrue="1"/>
  </conditionalFormatting>
  <conditionalFormatting sqref="A1050:A1051">
    <cfRule type="duplicateValues" dxfId="1342" priority="1342" stopIfTrue="1"/>
    <cfRule type="duplicateValues" dxfId="1341" priority="1343" stopIfTrue="1"/>
  </conditionalFormatting>
  <conditionalFormatting sqref="A1050:A1051">
    <cfRule type="duplicateValues" dxfId="1340" priority="1339" stopIfTrue="1"/>
    <cfRule type="duplicateValues" dxfId="1339" priority="1340" stopIfTrue="1"/>
    <cfRule type="cellIs" dxfId="1338" priority="1341" stopIfTrue="1" operator="equal">
      <formula>25504</formula>
    </cfRule>
  </conditionalFormatting>
  <conditionalFormatting sqref="A1050:A1051">
    <cfRule type="duplicateValues" dxfId="1337" priority="1338"/>
  </conditionalFormatting>
  <conditionalFormatting sqref="A1050:A1051">
    <cfRule type="duplicateValues" dxfId="1336" priority="1337"/>
  </conditionalFormatting>
  <conditionalFormatting sqref="A1050:A1051">
    <cfRule type="duplicateValues" dxfId="1335" priority="1336"/>
  </conditionalFormatting>
  <conditionalFormatting sqref="A1050:A1051">
    <cfRule type="duplicateValues" dxfId="1334" priority="1335"/>
  </conditionalFormatting>
  <conditionalFormatting sqref="A1050:A1051">
    <cfRule type="duplicateValues" dxfId="1333" priority="1334"/>
  </conditionalFormatting>
  <conditionalFormatting sqref="A1050:A1051">
    <cfRule type="duplicateValues" dxfId="1332" priority="1331"/>
    <cfRule type="duplicateValues" dxfId="1331" priority="1332"/>
    <cfRule type="duplicateValues" dxfId="1330" priority="1333"/>
  </conditionalFormatting>
  <conditionalFormatting sqref="A1050:A1051">
    <cfRule type="duplicateValues" dxfId="1329" priority="1330"/>
  </conditionalFormatting>
  <conditionalFormatting sqref="A1050:A1051">
    <cfRule type="duplicateValues" dxfId="1328" priority="1329"/>
  </conditionalFormatting>
  <conditionalFormatting sqref="A1050:A1051">
    <cfRule type="duplicateValues" dxfId="1327" priority="1328"/>
  </conditionalFormatting>
  <conditionalFormatting sqref="A1050:A1051">
    <cfRule type="duplicateValues" dxfId="1326" priority="1327"/>
  </conditionalFormatting>
  <conditionalFormatting sqref="A1050:A1051">
    <cfRule type="duplicateValues" dxfId="1325" priority="1326"/>
  </conditionalFormatting>
  <conditionalFormatting sqref="A1050:A1051">
    <cfRule type="duplicateValues" dxfId="1324" priority="1325"/>
  </conditionalFormatting>
  <conditionalFormatting sqref="A1050:A1051">
    <cfRule type="duplicateValues" dxfId="1323" priority="1324"/>
  </conditionalFormatting>
  <conditionalFormatting sqref="A1050:A1051">
    <cfRule type="duplicateValues" dxfId="1322" priority="1323"/>
  </conditionalFormatting>
  <conditionalFormatting sqref="A1050:A1051">
    <cfRule type="duplicateValues" dxfId="1321" priority="1322"/>
  </conditionalFormatting>
  <conditionalFormatting sqref="A1050:A1051">
    <cfRule type="duplicateValues" dxfId="1320" priority="1321"/>
  </conditionalFormatting>
  <conditionalFormatting sqref="A1050:A1051">
    <cfRule type="duplicateValues" dxfId="1319" priority="1320"/>
  </conditionalFormatting>
  <conditionalFormatting sqref="A1050:A1051">
    <cfRule type="duplicateValues" dxfId="1318" priority="1319" stopIfTrue="1"/>
  </conditionalFormatting>
  <conditionalFormatting sqref="A1050:A1051">
    <cfRule type="duplicateValues" dxfId="1317" priority="1318" stopIfTrue="1"/>
  </conditionalFormatting>
  <conditionalFormatting sqref="A1050:A1051">
    <cfRule type="duplicateValues" dxfId="1316" priority="1317" stopIfTrue="1"/>
  </conditionalFormatting>
  <conditionalFormatting sqref="A1050:A1051">
    <cfRule type="duplicateValues" dxfId="1315" priority="1316" stopIfTrue="1"/>
  </conditionalFormatting>
  <conditionalFormatting sqref="A1050:A1051">
    <cfRule type="duplicateValues" dxfId="1314" priority="1315" stopIfTrue="1"/>
  </conditionalFormatting>
  <conditionalFormatting sqref="A1050:A1051">
    <cfRule type="duplicateValues" dxfId="1313" priority="1314" stopIfTrue="1"/>
  </conditionalFormatting>
  <conditionalFormatting sqref="A1050:A1051">
    <cfRule type="duplicateValues" dxfId="1312" priority="1311" stopIfTrue="1"/>
    <cfRule type="duplicateValues" dxfId="1311" priority="1312" stopIfTrue="1"/>
    <cfRule type="duplicateValues" dxfId="1310" priority="1313" stopIfTrue="1"/>
  </conditionalFormatting>
  <conditionalFormatting sqref="A1050:A1051">
    <cfRule type="duplicateValues" dxfId="1309" priority="1310" stopIfTrue="1"/>
  </conditionalFormatting>
  <conditionalFormatting sqref="A1050:A1051">
    <cfRule type="duplicateValues" dxfId="1308" priority="1309" stopIfTrue="1"/>
  </conditionalFormatting>
  <conditionalFormatting sqref="A1050:A1051">
    <cfRule type="duplicateValues" dxfId="1307" priority="1307" stopIfTrue="1"/>
    <cfRule type="duplicateValues" dxfId="1306" priority="1308" stopIfTrue="1"/>
  </conditionalFormatting>
  <conditionalFormatting sqref="A1050:A1051">
    <cfRule type="duplicateValues" dxfId="1305" priority="1304" stopIfTrue="1"/>
    <cfRule type="duplicateValues" dxfId="1304" priority="1305" stopIfTrue="1"/>
    <cfRule type="cellIs" dxfId="1303" priority="1306" stopIfTrue="1" operator="equal">
      <formula>25504</formula>
    </cfRule>
  </conditionalFormatting>
  <conditionalFormatting sqref="A1050:A1051">
    <cfRule type="duplicateValues" dxfId="1302" priority="1303" stopIfTrue="1"/>
  </conditionalFormatting>
  <conditionalFormatting sqref="A1050:A1051">
    <cfRule type="duplicateValues" dxfId="1301" priority="1301" stopIfTrue="1"/>
    <cfRule type="duplicateValues" dxfId="1300" priority="1302" stopIfTrue="1"/>
  </conditionalFormatting>
  <conditionalFormatting sqref="A1050:A1051">
    <cfRule type="duplicateValues" dxfId="1299" priority="1300" stopIfTrue="1"/>
  </conditionalFormatting>
  <conditionalFormatting sqref="A1050:A1051">
    <cfRule type="duplicateValues" dxfId="1298" priority="1299" stopIfTrue="1"/>
  </conditionalFormatting>
  <conditionalFormatting sqref="A1050:A1051">
    <cfRule type="duplicateValues" dxfId="1297" priority="1298" stopIfTrue="1"/>
  </conditionalFormatting>
  <conditionalFormatting sqref="A1050:A1051">
    <cfRule type="duplicateValues" dxfId="1296" priority="1295" stopIfTrue="1"/>
    <cfRule type="duplicateValues" dxfId="1295" priority="1296" stopIfTrue="1"/>
    <cfRule type="duplicateValues" dxfId="1294" priority="1297" stopIfTrue="1"/>
  </conditionalFormatting>
  <conditionalFormatting sqref="A1050:A1051">
    <cfRule type="duplicateValues" dxfId="1293" priority="1294" stopIfTrue="1"/>
  </conditionalFormatting>
  <conditionalFormatting sqref="A1050:A1051">
    <cfRule type="duplicateValues" dxfId="1292" priority="1293" stopIfTrue="1"/>
  </conditionalFormatting>
  <conditionalFormatting sqref="A1050:A1051">
    <cfRule type="duplicateValues" dxfId="1291" priority="1292" stopIfTrue="1"/>
  </conditionalFormatting>
  <conditionalFormatting sqref="A1050:A1051">
    <cfRule type="duplicateValues" dxfId="1290" priority="1291" stopIfTrue="1"/>
  </conditionalFormatting>
  <conditionalFormatting sqref="A1050:A1051">
    <cfRule type="duplicateValues" dxfId="1289" priority="1289" stopIfTrue="1"/>
    <cfRule type="duplicateValues" dxfId="1288" priority="1290" stopIfTrue="1"/>
  </conditionalFormatting>
  <conditionalFormatting sqref="A1050:A1051">
    <cfRule type="duplicateValues" dxfId="1287" priority="1288" stopIfTrue="1"/>
  </conditionalFormatting>
  <conditionalFormatting sqref="A1050:A1051">
    <cfRule type="duplicateValues" dxfId="1286" priority="1287" stopIfTrue="1"/>
  </conditionalFormatting>
  <conditionalFormatting sqref="A1050:A1051">
    <cfRule type="duplicateValues" dxfId="1285" priority="1286" stopIfTrue="1"/>
  </conditionalFormatting>
  <conditionalFormatting sqref="A1050:A1051">
    <cfRule type="duplicateValues" dxfId="1284" priority="1283" stopIfTrue="1"/>
    <cfRule type="duplicateValues" dxfId="1283" priority="1284" stopIfTrue="1"/>
    <cfRule type="duplicateValues" dxfId="1282" priority="1285" stopIfTrue="1"/>
  </conditionalFormatting>
  <conditionalFormatting sqref="A1050:A1051">
    <cfRule type="duplicateValues" dxfId="1281" priority="1282" stopIfTrue="1"/>
  </conditionalFormatting>
  <conditionalFormatting sqref="A1050:A1051">
    <cfRule type="duplicateValues" dxfId="1280" priority="1281" stopIfTrue="1"/>
  </conditionalFormatting>
  <conditionalFormatting sqref="A1050:A1051">
    <cfRule type="duplicateValues" dxfId="1279" priority="1279" stopIfTrue="1"/>
    <cfRule type="duplicateValues" dxfId="1278" priority="1280" stopIfTrue="1"/>
  </conditionalFormatting>
  <conditionalFormatting sqref="A1050:A1051">
    <cfRule type="duplicateValues" dxfId="1277" priority="1278" stopIfTrue="1"/>
  </conditionalFormatting>
  <conditionalFormatting sqref="A1050:A1051">
    <cfRule type="duplicateValues" dxfId="1276" priority="1277" stopIfTrue="1"/>
  </conditionalFormatting>
  <conditionalFormatting sqref="A1050:A1051">
    <cfRule type="duplicateValues" dxfId="1275" priority="1276" stopIfTrue="1"/>
  </conditionalFormatting>
  <conditionalFormatting sqref="A1050:A1051">
    <cfRule type="duplicateValues" dxfId="1274" priority="1273" stopIfTrue="1"/>
    <cfRule type="duplicateValues" dxfId="1273" priority="1274" stopIfTrue="1"/>
    <cfRule type="cellIs" dxfId="1272" priority="1275" stopIfTrue="1" operator="equal">
      <formula>25504</formula>
    </cfRule>
  </conditionalFormatting>
  <conditionalFormatting sqref="A1050:A1051">
    <cfRule type="duplicateValues" dxfId="1271" priority="1272" stopIfTrue="1"/>
  </conditionalFormatting>
  <conditionalFormatting sqref="A1050:A1051">
    <cfRule type="duplicateValues" dxfId="1270" priority="1269" stopIfTrue="1"/>
    <cfRule type="duplicateValues" dxfId="1269" priority="1270" stopIfTrue="1"/>
    <cfRule type="duplicateValues" dxfId="1268" priority="1271" stopIfTrue="1"/>
  </conditionalFormatting>
  <conditionalFormatting sqref="A1050:A1051">
    <cfRule type="duplicateValues" dxfId="1267" priority="1267" stopIfTrue="1"/>
    <cfRule type="duplicateValues" dxfId="1266" priority="1268" stopIfTrue="1"/>
  </conditionalFormatting>
  <conditionalFormatting sqref="A1050:A1051">
    <cfRule type="duplicateValues" dxfId="1265" priority="1264" stopIfTrue="1"/>
    <cfRule type="duplicateValues" dxfId="1264" priority="1265" stopIfTrue="1"/>
    <cfRule type="cellIs" dxfId="1263" priority="1266" stopIfTrue="1" operator="equal">
      <formula>25504</formula>
    </cfRule>
  </conditionalFormatting>
  <conditionalFormatting sqref="A1050:A1051">
    <cfRule type="duplicateValues" dxfId="1262" priority="1263" stopIfTrue="1"/>
  </conditionalFormatting>
  <conditionalFormatting sqref="A1050:A1051">
    <cfRule type="duplicateValues" dxfId="1261" priority="1260" stopIfTrue="1"/>
    <cfRule type="duplicateValues" dxfId="1260" priority="1261" stopIfTrue="1"/>
    <cfRule type="duplicateValues" dxfId="1259" priority="1262" stopIfTrue="1"/>
  </conditionalFormatting>
  <conditionalFormatting sqref="A1050:A1051">
    <cfRule type="duplicateValues" dxfId="1258" priority="1258" stopIfTrue="1"/>
    <cfRule type="duplicateValues" dxfId="1257" priority="1259" stopIfTrue="1"/>
  </conditionalFormatting>
  <conditionalFormatting sqref="A1050:A1051">
    <cfRule type="duplicateValues" dxfId="1256" priority="1255" stopIfTrue="1"/>
    <cfRule type="duplicateValues" dxfId="1255" priority="1256" stopIfTrue="1"/>
    <cfRule type="cellIs" dxfId="1254" priority="1257" stopIfTrue="1" operator="equal">
      <formula>25504</formula>
    </cfRule>
  </conditionalFormatting>
  <conditionalFormatting sqref="A1050:A1051">
    <cfRule type="duplicateValues" dxfId="1253" priority="1254" stopIfTrue="1"/>
  </conditionalFormatting>
  <conditionalFormatting sqref="A1050:A1051">
    <cfRule type="duplicateValues" dxfId="1252" priority="1251" stopIfTrue="1"/>
    <cfRule type="duplicateValues" dxfId="1251" priority="1252" stopIfTrue="1"/>
    <cfRule type="duplicateValues" dxfId="1250" priority="1253" stopIfTrue="1"/>
  </conditionalFormatting>
  <conditionalFormatting sqref="A1050:A1051">
    <cfRule type="duplicateValues" dxfId="1249" priority="1249" stopIfTrue="1"/>
    <cfRule type="duplicateValues" dxfId="1248" priority="1250" stopIfTrue="1"/>
  </conditionalFormatting>
  <conditionalFormatting sqref="A1050:A1051">
    <cfRule type="duplicateValues" dxfId="1247" priority="1246" stopIfTrue="1"/>
    <cfRule type="duplicateValues" dxfId="1246" priority="1247" stopIfTrue="1"/>
    <cfRule type="cellIs" dxfId="1245" priority="1248" stopIfTrue="1" operator="equal">
      <formula>25504</formula>
    </cfRule>
  </conditionalFormatting>
  <conditionalFormatting sqref="A1050:A1051">
    <cfRule type="duplicateValues" dxfId="1244" priority="1245" stopIfTrue="1"/>
  </conditionalFormatting>
  <conditionalFormatting sqref="A1050:A1051">
    <cfRule type="duplicateValues" dxfId="1243" priority="1242" stopIfTrue="1"/>
    <cfRule type="duplicateValues" dxfId="1242" priority="1243" stopIfTrue="1"/>
    <cfRule type="duplicateValues" dxfId="1241" priority="1244" stopIfTrue="1"/>
  </conditionalFormatting>
  <conditionalFormatting sqref="A1050:A1051">
    <cfRule type="duplicateValues" dxfId="1240" priority="1240" stopIfTrue="1"/>
    <cfRule type="duplicateValues" dxfId="1239" priority="1241" stopIfTrue="1"/>
  </conditionalFormatting>
  <conditionalFormatting sqref="A1050:A1051">
    <cfRule type="duplicateValues" dxfId="1238" priority="1239" stopIfTrue="1"/>
  </conditionalFormatting>
  <conditionalFormatting sqref="A1050:A1051">
    <cfRule type="duplicateValues" dxfId="1237" priority="1238"/>
  </conditionalFormatting>
  <conditionalFormatting sqref="A1050:A1051">
    <cfRule type="duplicateValues" dxfId="1236" priority="1235"/>
    <cfRule type="duplicateValues" dxfId="1235" priority="1236"/>
    <cfRule type="duplicateValues" dxfId="1234" priority="1237"/>
  </conditionalFormatting>
  <conditionalFormatting sqref="A1050:A1051">
    <cfRule type="duplicateValues" dxfId="1233" priority="1234"/>
  </conditionalFormatting>
  <conditionalFormatting sqref="A1050:A1051">
    <cfRule type="duplicateValues" dxfId="1232" priority="1233"/>
  </conditionalFormatting>
  <conditionalFormatting sqref="A1050:A1051">
    <cfRule type="duplicateValues" dxfId="1231" priority="1232"/>
  </conditionalFormatting>
  <conditionalFormatting sqref="A1050:A1051">
    <cfRule type="duplicateValues" dxfId="1230" priority="1231"/>
  </conditionalFormatting>
  <conditionalFormatting sqref="A1050:A1051">
    <cfRule type="duplicateValues" dxfId="1229" priority="1230"/>
  </conditionalFormatting>
  <conditionalFormatting sqref="A1050:A1051">
    <cfRule type="duplicateValues" dxfId="1228" priority="1229"/>
  </conditionalFormatting>
  <conditionalFormatting sqref="A1050:A1051">
    <cfRule type="duplicateValues" dxfId="1227" priority="1228" stopIfTrue="1"/>
  </conditionalFormatting>
  <conditionalFormatting sqref="A1050:A1051">
    <cfRule type="duplicateValues" dxfId="1226" priority="1225" stopIfTrue="1"/>
    <cfRule type="duplicateValues" dxfId="1225" priority="1226" stopIfTrue="1"/>
    <cfRule type="duplicateValues" dxfId="1224" priority="1227" stopIfTrue="1"/>
  </conditionalFormatting>
  <conditionalFormatting sqref="A1050:A1051">
    <cfRule type="duplicateValues" dxfId="1223" priority="1223" stopIfTrue="1"/>
    <cfRule type="duplicateValues" dxfId="1222" priority="1224" stopIfTrue="1"/>
  </conditionalFormatting>
  <conditionalFormatting sqref="A1050:A1051">
    <cfRule type="duplicateValues" dxfId="1221" priority="1220" stopIfTrue="1"/>
    <cfRule type="duplicateValues" dxfId="1220" priority="1221" stopIfTrue="1"/>
    <cfRule type="cellIs" dxfId="1219" priority="1222" stopIfTrue="1" operator="equal">
      <formula>25504</formula>
    </cfRule>
  </conditionalFormatting>
  <conditionalFormatting sqref="A1050:A1051">
    <cfRule type="duplicateValues" dxfId="1218" priority="1219"/>
  </conditionalFormatting>
  <conditionalFormatting sqref="A1050:A1051">
    <cfRule type="duplicateValues" dxfId="1217" priority="1218"/>
  </conditionalFormatting>
  <conditionalFormatting sqref="A1050:A1051">
    <cfRule type="duplicateValues" dxfId="1216" priority="1217"/>
  </conditionalFormatting>
  <conditionalFormatting sqref="A1050:A1051">
    <cfRule type="duplicateValues" dxfId="1215" priority="1216"/>
  </conditionalFormatting>
  <conditionalFormatting sqref="A1050:A1051">
    <cfRule type="duplicateValues" dxfId="1214" priority="1215"/>
  </conditionalFormatting>
  <conditionalFormatting sqref="A1050:A1051">
    <cfRule type="duplicateValues" dxfId="1213" priority="1214"/>
  </conditionalFormatting>
  <conditionalFormatting sqref="A1050:A1051">
    <cfRule type="duplicateValues" dxfId="1212" priority="1211"/>
    <cfRule type="duplicateValues" dxfId="1211" priority="1212"/>
    <cfRule type="duplicateValues" dxfId="1210" priority="1213"/>
  </conditionalFormatting>
  <conditionalFormatting sqref="A1050:A1051">
    <cfRule type="duplicateValues" dxfId="1209" priority="1210"/>
  </conditionalFormatting>
  <conditionalFormatting sqref="A1050:A1051">
    <cfRule type="duplicateValues" dxfId="1208" priority="1209"/>
  </conditionalFormatting>
  <conditionalFormatting sqref="A1050:A1051">
    <cfRule type="duplicateValues" dxfId="1207" priority="1208"/>
  </conditionalFormatting>
  <conditionalFormatting sqref="A1050:A1051">
    <cfRule type="duplicateValues" dxfId="1206" priority="1207"/>
  </conditionalFormatting>
  <conditionalFormatting sqref="A1050:A1051">
    <cfRule type="duplicateValues" dxfId="1205" priority="1206"/>
  </conditionalFormatting>
  <conditionalFormatting sqref="A1050:A1051">
    <cfRule type="duplicateValues" dxfId="1204" priority="1205"/>
  </conditionalFormatting>
  <conditionalFormatting sqref="A1050:A1051">
    <cfRule type="duplicateValues" dxfId="1203" priority="1204" stopIfTrue="1"/>
  </conditionalFormatting>
  <conditionalFormatting sqref="A1050:A1051">
    <cfRule type="duplicateValues" dxfId="1202" priority="1201" stopIfTrue="1"/>
    <cfRule type="duplicateValues" dxfId="1201" priority="1202" stopIfTrue="1"/>
    <cfRule type="duplicateValues" dxfId="1200" priority="1203" stopIfTrue="1"/>
  </conditionalFormatting>
  <conditionalFormatting sqref="A1050:A1051">
    <cfRule type="duplicateValues" dxfId="1199" priority="1199" stopIfTrue="1"/>
    <cfRule type="duplicateValues" dxfId="1198" priority="1200" stopIfTrue="1"/>
  </conditionalFormatting>
  <conditionalFormatting sqref="A1050:A1051">
    <cfRule type="duplicateValues" dxfId="1197" priority="1196" stopIfTrue="1"/>
    <cfRule type="duplicateValues" dxfId="1196" priority="1197" stopIfTrue="1"/>
    <cfRule type="cellIs" dxfId="1195" priority="1198" stopIfTrue="1" operator="equal">
      <formula>25504</formula>
    </cfRule>
  </conditionalFormatting>
  <conditionalFormatting sqref="A1050:A1051">
    <cfRule type="duplicateValues" dxfId="1194" priority="1195"/>
  </conditionalFormatting>
  <conditionalFormatting sqref="A1050:A1051">
    <cfRule type="duplicateValues" dxfId="1193" priority="1194"/>
  </conditionalFormatting>
  <conditionalFormatting sqref="A1050:A1051">
    <cfRule type="duplicateValues" dxfId="1192" priority="1193"/>
  </conditionalFormatting>
  <conditionalFormatting sqref="A1050:A1051">
    <cfRule type="duplicateValues" dxfId="1191" priority="1192"/>
  </conditionalFormatting>
  <conditionalFormatting sqref="A1050:A1051">
    <cfRule type="duplicateValues" dxfId="1190" priority="1191"/>
  </conditionalFormatting>
  <conditionalFormatting sqref="A1050:A1051">
    <cfRule type="duplicateValues" dxfId="1189" priority="1188"/>
    <cfRule type="duplicateValues" dxfId="1188" priority="1189"/>
    <cfRule type="duplicateValues" dxfId="1187" priority="1190"/>
  </conditionalFormatting>
  <conditionalFormatting sqref="A1050:A1051">
    <cfRule type="duplicateValues" dxfId="1186" priority="1187"/>
  </conditionalFormatting>
  <conditionalFormatting sqref="A1050:A1051">
    <cfRule type="duplicateValues" dxfId="1185" priority="1186"/>
  </conditionalFormatting>
  <conditionalFormatting sqref="A1050:A1051">
    <cfRule type="duplicateValues" dxfId="1184" priority="1185"/>
  </conditionalFormatting>
  <conditionalFormatting sqref="A1050:A1051">
    <cfRule type="duplicateValues" dxfId="1183" priority="1184"/>
  </conditionalFormatting>
  <conditionalFormatting sqref="A1050:A1051">
    <cfRule type="duplicateValues" dxfId="1182" priority="1183"/>
  </conditionalFormatting>
  <conditionalFormatting sqref="A1050:A1051">
    <cfRule type="duplicateValues" dxfId="1181" priority="1182"/>
  </conditionalFormatting>
  <conditionalFormatting sqref="A1050:A1051">
    <cfRule type="duplicateValues" dxfId="1180" priority="1181"/>
  </conditionalFormatting>
  <conditionalFormatting sqref="A1050:A1051">
    <cfRule type="duplicateValues" dxfId="1179" priority="1180"/>
  </conditionalFormatting>
  <conditionalFormatting sqref="A1050:A1051">
    <cfRule type="duplicateValues" dxfId="1178" priority="1179"/>
  </conditionalFormatting>
  <conditionalFormatting sqref="A1050:A1051">
    <cfRule type="duplicateValues" dxfId="1177" priority="1178"/>
  </conditionalFormatting>
  <conditionalFormatting sqref="A1050:A1051">
    <cfRule type="duplicateValues" dxfId="1176" priority="1177"/>
  </conditionalFormatting>
  <conditionalFormatting sqref="A1050:A1051">
    <cfRule type="duplicateValues" dxfId="1175" priority="1174" stopIfTrue="1"/>
    <cfRule type="duplicateValues" dxfId="1174" priority="1175" stopIfTrue="1"/>
    <cfRule type="cellIs" dxfId="1173" priority="1176" stopIfTrue="1" operator="equal">
      <formula>25504</formula>
    </cfRule>
  </conditionalFormatting>
  <conditionalFormatting sqref="A1050:A1051">
    <cfRule type="duplicateValues" dxfId="1172" priority="1173" stopIfTrue="1"/>
  </conditionalFormatting>
  <conditionalFormatting sqref="A1050:A1051">
    <cfRule type="duplicateValues" dxfId="1171" priority="1170" stopIfTrue="1"/>
    <cfRule type="duplicateValues" dxfId="1170" priority="1171" stopIfTrue="1"/>
    <cfRule type="duplicateValues" dxfId="1169" priority="1172" stopIfTrue="1"/>
  </conditionalFormatting>
  <conditionalFormatting sqref="A1050:A1051">
    <cfRule type="duplicateValues" dxfId="1168" priority="1168" stopIfTrue="1"/>
    <cfRule type="duplicateValues" dxfId="1167" priority="1169" stopIfTrue="1"/>
  </conditionalFormatting>
  <conditionalFormatting sqref="A1050:A1051">
    <cfRule type="duplicateValues" dxfId="1166" priority="1165" stopIfTrue="1"/>
    <cfRule type="duplicateValues" dxfId="1165" priority="1166" stopIfTrue="1"/>
    <cfRule type="cellIs" dxfId="1164" priority="1167" stopIfTrue="1" operator="equal">
      <formula>25504</formula>
    </cfRule>
  </conditionalFormatting>
  <conditionalFormatting sqref="A1050:A1051">
    <cfRule type="duplicateValues" dxfId="1163" priority="1164" stopIfTrue="1"/>
  </conditionalFormatting>
  <conditionalFormatting sqref="A1050:A1051">
    <cfRule type="duplicateValues" dxfId="1162" priority="1161" stopIfTrue="1"/>
    <cfRule type="duplicateValues" dxfId="1161" priority="1162" stopIfTrue="1"/>
    <cfRule type="duplicateValues" dxfId="1160" priority="1163" stopIfTrue="1"/>
  </conditionalFormatting>
  <conditionalFormatting sqref="A1050:A1051">
    <cfRule type="duplicateValues" dxfId="1159" priority="1159" stopIfTrue="1"/>
    <cfRule type="duplicateValues" dxfId="1158" priority="1160" stopIfTrue="1"/>
  </conditionalFormatting>
  <conditionalFormatting sqref="A1050:A1051">
    <cfRule type="duplicateValues" dxfId="1157" priority="1156" stopIfTrue="1"/>
    <cfRule type="duplicateValues" dxfId="1156" priority="1157" stopIfTrue="1"/>
    <cfRule type="cellIs" dxfId="1155" priority="1158" stopIfTrue="1" operator="equal">
      <formula>25504</formula>
    </cfRule>
  </conditionalFormatting>
  <conditionalFormatting sqref="A1050:A1051">
    <cfRule type="duplicateValues" dxfId="1154" priority="1155" stopIfTrue="1"/>
  </conditionalFormatting>
  <conditionalFormatting sqref="A1050:A1051">
    <cfRule type="duplicateValues" dxfId="1153" priority="1152" stopIfTrue="1"/>
    <cfRule type="duplicateValues" dxfId="1152" priority="1153" stopIfTrue="1"/>
    <cfRule type="duplicateValues" dxfId="1151" priority="1154" stopIfTrue="1"/>
  </conditionalFormatting>
  <conditionalFormatting sqref="A1050:A1051">
    <cfRule type="duplicateValues" dxfId="1150" priority="1150" stopIfTrue="1"/>
    <cfRule type="duplicateValues" dxfId="1149" priority="1151" stopIfTrue="1"/>
  </conditionalFormatting>
  <conditionalFormatting sqref="A1050:A1051">
    <cfRule type="duplicateValues" dxfId="1148" priority="1147" stopIfTrue="1"/>
    <cfRule type="duplicateValues" dxfId="1147" priority="1148" stopIfTrue="1"/>
    <cfRule type="cellIs" dxfId="1146" priority="1149" stopIfTrue="1" operator="equal">
      <formula>25504</formula>
    </cfRule>
  </conditionalFormatting>
  <conditionalFormatting sqref="A1050:A1051">
    <cfRule type="duplicateValues" dxfId="1145" priority="1146" stopIfTrue="1"/>
  </conditionalFormatting>
  <conditionalFormatting sqref="A1050:A1051">
    <cfRule type="duplicateValues" dxfId="1144" priority="1143" stopIfTrue="1"/>
    <cfRule type="duplicateValues" dxfId="1143" priority="1144" stopIfTrue="1"/>
    <cfRule type="duplicateValues" dxfId="1142" priority="1145" stopIfTrue="1"/>
  </conditionalFormatting>
  <conditionalFormatting sqref="A1050:A1051">
    <cfRule type="duplicateValues" dxfId="1141" priority="1141" stopIfTrue="1"/>
    <cfRule type="duplicateValues" dxfId="1140" priority="1142" stopIfTrue="1"/>
  </conditionalFormatting>
  <conditionalFormatting sqref="A1050:A1051">
    <cfRule type="duplicateValues" dxfId="1139" priority="1140" stopIfTrue="1"/>
  </conditionalFormatting>
  <conditionalFormatting sqref="A1050:A1051">
    <cfRule type="duplicateValues" dxfId="1138" priority="1139"/>
  </conditionalFormatting>
  <conditionalFormatting sqref="A1050:A1051">
    <cfRule type="duplicateValues" dxfId="1137" priority="1136"/>
    <cfRule type="duplicateValues" dxfId="1136" priority="1137"/>
    <cfRule type="duplicateValues" dxfId="1135" priority="1138"/>
  </conditionalFormatting>
  <conditionalFormatting sqref="A1050:A1051">
    <cfRule type="duplicateValues" dxfId="1134" priority="1135"/>
  </conditionalFormatting>
  <conditionalFormatting sqref="A1050:A1051">
    <cfRule type="duplicateValues" dxfId="1133" priority="1134"/>
  </conditionalFormatting>
  <conditionalFormatting sqref="A1050:A1051">
    <cfRule type="duplicateValues" dxfId="1132" priority="1133"/>
  </conditionalFormatting>
  <conditionalFormatting sqref="A1050:A1051">
    <cfRule type="duplicateValues" dxfId="1131" priority="1132"/>
  </conditionalFormatting>
  <conditionalFormatting sqref="A1050:A1051">
    <cfRule type="duplicateValues" dxfId="1130" priority="1131"/>
  </conditionalFormatting>
  <conditionalFormatting sqref="A1050:A1051">
    <cfRule type="duplicateValues" dxfId="1129" priority="1130"/>
  </conditionalFormatting>
  <conditionalFormatting sqref="A1050:A1051">
    <cfRule type="duplicateValues" dxfId="1128" priority="1129" stopIfTrue="1"/>
  </conditionalFormatting>
  <conditionalFormatting sqref="A1050:A1051">
    <cfRule type="duplicateValues" dxfId="1127" priority="1126" stopIfTrue="1"/>
    <cfRule type="duplicateValues" dxfId="1126" priority="1127" stopIfTrue="1"/>
    <cfRule type="duplicateValues" dxfId="1125" priority="1128" stopIfTrue="1"/>
  </conditionalFormatting>
  <conditionalFormatting sqref="A1050:A1051">
    <cfRule type="duplicateValues" dxfId="1124" priority="1124" stopIfTrue="1"/>
    <cfRule type="duplicateValues" dxfId="1123" priority="1125" stopIfTrue="1"/>
  </conditionalFormatting>
  <conditionalFormatting sqref="A1050:A1051">
    <cfRule type="duplicateValues" dxfId="1122" priority="1121" stopIfTrue="1"/>
    <cfRule type="duplicateValues" dxfId="1121" priority="1122" stopIfTrue="1"/>
    <cfRule type="cellIs" dxfId="1120" priority="1123" stopIfTrue="1" operator="equal">
      <formula>25504</formula>
    </cfRule>
  </conditionalFormatting>
  <conditionalFormatting sqref="A1050:A1051">
    <cfRule type="duplicateValues" dxfId="1119" priority="1120"/>
  </conditionalFormatting>
  <conditionalFormatting sqref="A1050:A1051">
    <cfRule type="duplicateValues" dxfId="1118" priority="1119"/>
  </conditionalFormatting>
  <conditionalFormatting sqref="A1050:A1051">
    <cfRule type="duplicateValues" dxfId="1117" priority="1118"/>
  </conditionalFormatting>
  <conditionalFormatting sqref="A1050:A1051">
    <cfRule type="duplicateValues" dxfId="1116" priority="1117"/>
  </conditionalFormatting>
  <conditionalFormatting sqref="A1050:A1051">
    <cfRule type="duplicateValues" dxfId="1115" priority="1116"/>
  </conditionalFormatting>
  <conditionalFormatting sqref="A1050:A1051">
    <cfRule type="duplicateValues" dxfId="1114" priority="1115"/>
  </conditionalFormatting>
  <conditionalFormatting sqref="A1050:A1051">
    <cfRule type="duplicateValues" dxfId="1113" priority="1112"/>
    <cfRule type="duplicateValues" dxfId="1112" priority="1113"/>
    <cfRule type="duplicateValues" dxfId="1111" priority="1114"/>
  </conditionalFormatting>
  <conditionalFormatting sqref="A1050:A1051">
    <cfRule type="duplicateValues" dxfId="1110" priority="1111"/>
  </conditionalFormatting>
  <conditionalFormatting sqref="A1050:A1051">
    <cfRule type="duplicateValues" dxfId="1109" priority="1110"/>
  </conditionalFormatting>
  <conditionalFormatting sqref="A1050:A1051">
    <cfRule type="duplicateValues" dxfId="1108" priority="1109"/>
  </conditionalFormatting>
  <conditionalFormatting sqref="A1050:A1051">
    <cfRule type="duplicateValues" dxfId="1107" priority="1108"/>
  </conditionalFormatting>
  <conditionalFormatting sqref="A1050:A1051">
    <cfRule type="duplicateValues" dxfId="1106" priority="1107"/>
  </conditionalFormatting>
  <conditionalFormatting sqref="A1050:A1051">
    <cfRule type="duplicateValues" dxfId="1105" priority="1106"/>
  </conditionalFormatting>
  <conditionalFormatting sqref="A1050:A1051">
    <cfRule type="duplicateValues" dxfId="1104" priority="1105" stopIfTrue="1"/>
  </conditionalFormatting>
  <conditionalFormatting sqref="A1050:A1051">
    <cfRule type="duplicateValues" dxfId="1103" priority="1102" stopIfTrue="1"/>
    <cfRule type="duplicateValues" dxfId="1102" priority="1103" stopIfTrue="1"/>
    <cfRule type="duplicateValues" dxfId="1101" priority="1104" stopIfTrue="1"/>
  </conditionalFormatting>
  <conditionalFormatting sqref="A1050:A1051">
    <cfRule type="duplicateValues" dxfId="1100" priority="1100" stopIfTrue="1"/>
    <cfRule type="duplicateValues" dxfId="1099" priority="1101" stopIfTrue="1"/>
  </conditionalFormatting>
  <conditionalFormatting sqref="A1050:A1051">
    <cfRule type="duplicateValues" dxfId="1098" priority="1097" stopIfTrue="1"/>
    <cfRule type="duplicateValues" dxfId="1097" priority="1098" stopIfTrue="1"/>
    <cfRule type="cellIs" dxfId="1096" priority="1099" stopIfTrue="1" operator="equal">
      <formula>25504</formula>
    </cfRule>
  </conditionalFormatting>
  <conditionalFormatting sqref="A1050:A1051">
    <cfRule type="duplicateValues" dxfId="1095" priority="1096"/>
  </conditionalFormatting>
  <conditionalFormatting sqref="A1050:A1051">
    <cfRule type="duplicateValues" dxfId="1094" priority="1095"/>
  </conditionalFormatting>
  <conditionalFormatting sqref="A1050:A1051">
    <cfRule type="duplicateValues" dxfId="1093" priority="1094"/>
  </conditionalFormatting>
  <conditionalFormatting sqref="A1050:A1051">
    <cfRule type="duplicateValues" dxfId="1092" priority="1093"/>
  </conditionalFormatting>
  <conditionalFormatting sqref="A1050:A1051">
    <cfRule type="duplicateValues" dxfId="1091" priority="1092"/>
  </conditionalFormatting>
  <conditionalFormatting sqref="A1050:A1051">
    <cfRule type="duplicateValues" dxfId="1090" priority="1089"/>
    <cfRule type="duplicateValues" dxfId="1089" priority="1090"/>
    <cfRule type="duplicateValues" dxfId="1088" priority="1091"/>
  </conditionalFormatting>
  <conditionalFormatting sqref="A1050:A1051">
    <cfRule type="duplicateValues" dxfId="1087" priority="1088"/>
  </conditionalFormatting>
  <conditionalFormatting sqref="A1050:A1051">
    <cfRule type="duplicateValues" dxfId="1086" priority="1087"/>
  </conditionalFormatting>
  <conditionalFormatting sqref="A1050:A1051">
    <cfRule type="duplicateValues" dxfId="1085" priority="1086"/>
  </conditionalFormatting>
  <conditionalFormatting sqref="A1050:A1051">
    <cfRule type="duplicateValues" dxfId="1084" priority="1085"/>
  </conditionalFormatting>
  <conditionalFormatting sqref="A1050:A1051">
    <cfRule type="duplicateValues" dxfId="1083" priority="1084"/>
  </conditionalFormatting>
  <conditionalFormatting sqref="A1050:A1051">
    <cfRule type="duplicateValues" dxfId="1082" priority="1083"/>
  </conditionalFormatting>
  <conditionalFormatting sqref="A1050:A1051">
    <cfRule type="duplicateValues" dxfId="1081" priority="1082"/>
  </conditionalFormatting>
  <conditionalFormatting sqref="A1050:A1051">
    <cfRule type="duplicateValues" dxfId="1080" priority="1081"/>
  </conditionalFormatting>
  <conditionalFormatting sqref="A1050:A1051">
    <cfRule type="duplicateValues" dxfId="1079" priority="1080"/>
  </conditionalFormatting>
  <conditionalFormatting sqref="A1050:A1051">
    <cfRule type="duplicateValues" dxfId="1078" priority="1079"/>
  </conditionalFormatting>
  <conditionalFormatting sqref="A1050:A1051">
    <cfRule type="duplicateValues" dxfId="1077" priority="1078"/>
  </conditionalFormatting>
  <conditionalFormatting sqref="A1050:A1051">
    <cfRule type="duplicateValues" dxfId="1076" priority="1075" stopIfTrue="1"/>
    <cfRule type="duplicateValues" dxfId="1075" priority="1076" stopIfTrue="1"/>
    <cfRule type="cellIs" dxfId="1074" priority="1077" stopIfTrue="1" operator="equal">
      <formula>25504</formula>
    </cfRule>
  </conditionalFormatting>
  <conditionalFormatting sqref="A1050:A1051">
    <cfRule type="duplicateValues" dxfId="1073" priority="1074" stopIfTrue="1"/>
  </conditionalFormatting>
  <conditionalFormatting sqref="A1050:A1051">
    <cfRule type="duplicateValues" dxfId="1072" priority="1071" stopIfTrue="1"/>
    <cfRule type="duplicateValues" dxfId="1071" priority="1072" stopIfTrue="1"/>
    <cfRule type="duplicateValues" dxfId="1070" priority="1073" stopIfTrue="1"/>
  </conditionalFormatting>
  <conditionalFormatting sqref="A1050:A1051">
    <cfRule type="duplicateValues" dxfId="1069" priority="1069" stopIfTrue="1"/>
    <cfRule type="duplicateValues" dxfId="1068" priority="1070" stopIfTrue="1"/>
  </conditionalFormatting>
  <conditionalFormatting sqref="A1050:A1051">
    <cfRule type="duplicateValues" dxfId="1067" priority="1066" stopIfTrue="1"/>
    <cfRule type="duplicateValues" dxfId="1066" priority="1067" stopIfTrue="1"/>
    <cfRule type="cellIs" dxfId="1065" priority="1068" stopIfTrue="1" operator="equal">
      <formula>25504</formula>
    </cfRule>
  </conditionalFormatting>
  <conditionalFormatting sqref="A1050:A1051">
    <cfRule type="duplicateValues" dxfId="1064" priority="1065" stopIfTrue="1"/>
  </conditionalFormatting>
  <conditionalFormatting sqref="A1050:A1051">
    <cfRule type="duplicateValues" dxfId="1063" priority="1062" stopIfTrue="1"/>
    <cfRule type="duplicateValues" dxfId="1062" priority="1063" stopIfTrue="1"/>
    <cfRule type="duplicateValues" dxfId="1061" priority="1064" stopIfTrue="1"/>
  </conditionalFormatting>
  <conditionalFormatting sqref="A1050:A1051">
    <cfRule type="duplicateValues" dxfId="1060" priority="1060" stopIfTrue="1"/>
    <cfRule type="duplicateValues" dxfId="1059" priority="1061" stopIfTrue="1"/>
  </conditionalFormatting>
  <conditionalFormatting sqref="A1050:A1051">
    <cfRule type="duplicateValues" dxfId="1058" priority="1057" stopIfTrue="1"/>
    <cfRule type="duplicateValues" dxfId="1057" priority="1058" stopIfTrue="1"/>
    <cfRule type="cellIs" dxfId="1056" priority="1059" stopIfTrue="1" operator="equal">
      <formula>25504</formula>
    </cfRule>
  </conditionalFormatting>
  <conditionalFormatting sqref="A1050:A1051">
    <cfRule type="duplicateValues" dxfId="1055" priority="1056" stopIfTrue="1"/>
  </conditionalFormatting>
  <conditionalFormatting sqref="A1050:A1051">
    <cfRule type="duplicateValues" dxfId="1054" priority="1053" stopIfTrue="1"/>
    <cfRule type="duplicateValues" dxfId="1053" priority="1054" stopIfTrue="1"/>
    <cfRule type="duplicateValues" dxfId="1052" priority="1055" stopIfTrue="1"/>
  </conditionalFormatting>
  <conditionalFormatting sqref="A1050:A1051">
    <cfRule type="duplicateValues" dxfId="1051" priority="1051" stopIfTrue="1"/>
    <cfRule type="duplicateValues" dxfId="1050" priority="1052" stopIfTrue="1"/>
  </conditionalFormatting>
  <conditionalFormatting sqref="A1050:A1051">
    <cfRule type="duplicateValues" dxfId="1049" priority="1048" stopIfTrue="1"/>
    <cfRule type="duplicateValues" dxfId="1048" priority="1049" stopIfTrue="1"/>
    <cfRule type="cellIs" dxfId="1047" priority="1050" stopIfTrue="1" operator="equal">
      <formula>25504</formula>
    </cfRule>
  </conditionalFormatting>
  <conditionalFormatting sqref="A1050:A1051">
    <cfRule type="duplicateValues" dxfId="1046" priority="1047" stopIfTrue="1"/>
  </conditionalFormatting>
  <conditionalFormatting sqref="A1050:A1051">
    <cfRule type="duplicateValues" dxfId="1045" priority="1044" stopIfTrue="1"/>
    <cfRule type="duplicateValues" dxfId="1044" priority="1045" stopIfTrue="1"/>
    <cfRule type="duplicateValues" dxfId="1043" priority="1046" stopIfTrue="1"/>
  </conditionalFormatting>
  <conditionalFormatting sqref="A1050:A1051">
    <cfRule type="duplicateValues" dxfId="1042" priority="1042" stopIfTrue="1"/>
    <cfRule type="duplicateValues" dxfId="1041" priority="1043" stopIfTrue="1"/>
  </conditionalFormatting>
  <conditionalFormatting sqref="A1050:A1051">
    <cfRule type="duplicateValues" dxfId="1040" priority="1039" stopIfTrue="1"/>
    <cfRule type="duplicateValues" dxfId="1039" priority="1040" stopIfTrue="1"/>
    <cfRule type="cellIs" dxfId="1038" priority="1041" stopIfTrue="1" operator="equal">
      <formula>25504</formula>
    </cfRule>
  </conditionalFormatting>
  <conditionalFormatting sqref="A1050:A1051">
    <cfRule type="duplicateValues" dxfId="1037" priority="1038" stopIfTrue="1"/>
  </conditionalFormatting>
  <conditionalFormatting sqref="A1050:A1051">
    <cfRule type="duplicateValues" dxfId="1036" priority="1035" stopIfTrue="1"/>
    <cfRule type="duplicateValues" dxfId="1035" priority="1036" stopIfTrue="1"/>
    <cfRule type="duplicateValues" dxfId="1034" priority="1037" stopIfTrue="1"/>
  </conditionalFormatting>
  <conditionalFormatting sqref="A1050:A1051">
    <cfRule type="duplicateValues" dxfId="1033" priority="1033" stopIfTrue="1"/>
    <cfRule type="duplicateValues" dxfId="1032" priority="1034" stopIfTrue="1"/>
  </conditionalFormatting>
  <conditionalFormatting sqref="A1050:A1051">
    <cfRule type="duplicateValues" dxfId="1031" priority="1030" stopIfTrue="1"/>
    <cfRule type="duplicateValues" dxfId="1030" priority="1031" stopIfTrue="1"/>
    <cfRule type="cellIs" dxfId="1029" priority="1032" stopIfTrue="1" operator="equal">
      <formula>25504</formula>
    </cfRule>
  </conditionalFormatting>
  <conditionalFormatting sqref="A1050:A1051">
    <cfRule type="duplicateValues" dxfId="1028" priority="1029" stopIfTrue="1"/>
  </conditionalFormatting>
  <conditionalFormatting sqref="A1050:A1051">
    <cfRule type="duplicateValues" dxfId="1027" priority="1026" stopIfTrue="1"/>
    <cfRule type="duplicateValues" dxfId="1026" priority="1027" stopIfTrue="1"/>
    <cfRule type="duplicateValues" dxfId="1025" priority="1028" stopIfTrue="1"/>
  </conditionalFormatting>
  <conditionalFormatting sqref="A1050:A1051">
    <cfRule type="duplicateValues" dxfId="1024" priority="1024" stopIfTrue="1"/>
    <cfRule type="duplicateValues" dxfId="1023" priority="1025" stopIfTrue="1"/>
  </conditionalFormatting>
  <conditionalFormatting sqref="A1050:A1051">
    <cfRule type="duplicateValues" dxfId="1022" priority="1023" stopIfTrue="1"/>
  </conditionalFormatting>
  <conditionalFormatting sqref="A1050">
    <cfRule type="duplicateValues" dxfId="1021" priority="1022"/>
  </conditionalFormatting>
  <conditionalFormatting sqref="A1050">
    <cfRule type="duplicateValues" dxfId="1020" priority="1020"/>
    <cfRule type="duplicateValues" dxfId="1019" priority="1021"/>
  </conditionalFormatting>
  <conditionalFormatting sqref="A1050">
    <cfRule type="duplicateValues" dxfId="1018" priority="1019" stopIfTrue="1"/>
  </conditionalFormatting>
  <conditionalFormatting sqref="A1050">
    <cfRule type="duplicateValues" dxfId="1017" priority="1016" stopIfTrue="1"/>
    <cfRule type="duplicateValues" dxfId="1016" priority="1017" stopIfTrue="1"/>
    <cfRule type="duplicateValues" dxfId="1015" priority="1018" stopIfTrue="1"/>
  </conditionalFormatting>
  <conditionalFormatting sqref="A1050">
    <cfRule type="duplicateValues" dxfId="1014" priority="1013" stopIfTrue="1"/>
    <cfRule type="duplicateValues" dxfId="1013" priority="1014" stopIfTrue="1"/>
    <cfRule type="cellIs" dxfId="1012" priority="1015" stopIfTrue="1" operator="equal">
      <formula>25504</formula>
    </cfRule>
  </conditionalFormatting>
  <conditionalFormatting sqref="A1050">
    <cfRule type="duplicateValues" dxfId="1011" priority="1012"/>
  </conditionalFormatting>
  <conditionalFormatting sqref="A1050">
    <cfRule type="duplicateValues" dxfId="1010" priority="1009"/>
    <cfRule type="duplicateValues" dxfId="1009" priority="1010"/>
    <cfRule type="duplicateValues" dxfId="1008" priority="1011"/>
  </conditionalFormatting>
  <conditionalFormatting sqref="A1050">
    <cfRule type="duplicateValues" dxfId="1007" priority="1008" stopIfTrue="1"/>
  </conditionalFormatting>
  <conditionalFormatting sqref="A1050">
    <cfRule type="duplicateValues" dxfId="1006" priority="1007" stopIfTrue="1"/>
  </conditionalFormatting>
  <conditionalFormatting sqref="A1050">
    <cfRule type="duplicateValues" dxfId="1005" priority="1004" stopIfTrue="1"/>
    <cfRule type="duplicateValues" dxfId="1004" priority="1005" stopIfTrue="1"/>
    <cfRule type="duplicateValues" dxfId="1003" priority="1006" stopIfTrue="1"/>
  </conditionalFormatting>
  <conditionalFormatting sqref="A1050">
    <cfRule type="duplicateValues" dxfId="1002" priority="1002" stopIfTrue="1"/>
    <cfRule type="duplicateValues" dxfId="1001" priority="1003" stopIfTrue="1"/>
  </conditionalFormatting>
  <conditionalFormatting sqref="A1050">
    <cfRule type="duplicateValues" dxfId="1000" priority="999" stopIfTrue="1"/>
    <cfRule type="duplicateValues" dxfId="999" priority="1000" stopIfTrue="1"/>
    <cfRule type="cellIs" dxfId="998" priority="1001" stopIfTrue="1" operator="equal">
      <formula>25504</formula>
    </cfRule>
  </conditionalFormatting>
  <conditionalFormatting sqref="A1050">
    <cfRule type="duplicateValues" dxfId="997" priority="998"/>
  </conditionalFormatting>
  <conditionalFormatting sqref="A1050">
    <cfRule type="duplicateValues" dxfId="996" priority="996"/>
    <cfRule type="duplicateValues" dxfId="995" priority="997"/>
  </conditionalFormatting>
  <conditionalFormatting sqref="A1050">
    <cfRule type="duplicateValues" dxfId="994" priority="993"/>
    <cfRule type="duplicateValues" dxfId="993" priority="994"/>
    <cfRule type="duplicateValues" dxfId="992" priority="995"/>
  </conditionalFormatting>
  <conditionalFormatting sqref="A1050">
    <cfRule type="duplicateValues" dxfId="991" priority="992" stopIfTrue="1"/>
  </conditionalFormatting>
  <conditionalFormatting sqref="A1050">
    <cfRule type="duplicateValues" dxfId="990" priority="989" stopIfTrue="1"/>
    <cfRule type="duplicateValues" dxfId="989" priority="990" stopIfTrue="1"/>
    <cfRule type="cellIs" dxfId="988" priority="991" stopIfTrue="1" operator="equal">
      <formula>25504</formula>
    </cfRule>
  </conditionalFormatting>
  <conditionalFormatting sqref="A1051">
    <cfRule type="duplicateValues" dxfId="987" priority="988"/>
  </conditionalFormatting>
  <conditionalFormatting sqref="A1051">
    <cfRule type="duplicateValues" dxfId="986" priority="986"/>
    <cfRule type="duplicateValues" dxfId="985" priority="987"/>
  </conditionalFormatting>
  <conditionalFormatting sqref="A1051">
    <cfRule type="duplicateValues" dxfId="984" priority="985" stopIfTrue="1"/>
  </conditionalFormatting>
  <conditionalFormatting sqref="A1051">
    <cfRule type="duplicateValues" dxfId="983" priority="982" stopIfTrue="1"/>
    <cfRule type="duplicateValues" dxfId="982" priority="983" stopIfTrue="1"/>
    <cfRule type="duplicateValues" dxfId="981" priority="984" stopIfTrue="1"/>
  </conditionalFormatting>
  <conditionalFormatting sqref="A1051">
    <cfRule type="duplicateValues" dxfId="980" priority="979" stopIfTrue="1"/>
    <cfRule type="duplicateValues" dxfId="979" priority="980" stopIfTrue="1"/>
    <cfRule type="cellIs" dxfId="978" priority="981" stopIfTrue="1" operator="equal">
      <formula>25504</formula>
    </cfRule>
  </conditionalFormatting>
  <conditionalFormatting sqref="A1051">
    <cfRule type="duplicateValues" dxfId="977" priority="978"/>
  </conditionalFormatting>
  <conditionalFormatting sqref="A1051">
    <cfRule type="duplicateValues" dxfId="976" priority="975"/>
    <cfRule type="duplicateValues" dxfId="975" priority="976"/>
    <cfRule type="duplicateValues" dxfId="974" priority="977"/>
  </conditionalFormatting>
  <conditionalFormatting sqref="A1051">
    <cfRule type="duplicateValues" dxfId="973" priority="974" stopIfTrue="1"/>
  </conditionalFormatting>
  <conditionalFormatting sqref="A1051">
    <cfRule type="duplicateValues" dxfId="972" priority="973" stopIfTrue="1"/>
  </conditionalFormatting>
  <conditionalFormatting sqref="A1051">
    <cfRule type="duplicateValues" dxfId="971" priority="970" stopIfTrue="1"/>
    <cfRule type="duplicateValues" dxfId="970" priority="971" stopIfTrue="1"/>
    <cfRule type="duplicateValues" dxfId="969" priority="972" stopIfTrue="1"/>
  </conditionalFormatting>
  <conditionalFormatting sqref="A1051">
    <cfRule type="duplicateValues" dxfId="968" priority="968" stopIfTrue="1"/>
    <cfRule type="duplicateValues" dxfId="967" priority="969" stopIfTrue="1"/>
  </conditionalFormatting>
  <conditionalFormatting sqref="A1051">
    <cfRule type="duplicateValues" dxfId="966" priority="965" stopIfTrue="1"/>
    <cfRule type="duplicateValues" dxfId="965" priority="966" stopIfTrue="1"/>
    <cfRule type="cellIs" dxfId="964" priority="967" stopIfTrue="1" operator="equal">
      <formula>25504</formula>
    </cfRule>
  </conditionalFormatting>
  <conditionalFormatting sqref="A1051">
    <cfRule type="duplicateValues" dxfId="963" priority="964"/>
  </conditionalFormatting>
  <conditionalFormatting sqref="A1051">
    <cfRule type="duplicateValues" dxfId="962" priority="962"/>
    <cfRule type="duplicateValues" dxfId="961" priority="963"/>
  </conditionalFormatting>
  <conditionalFormatting sqref="A1051">
    <cfRule type="duplicateValues" dxfId="960" priority="959"/>
    <cfRule type="duplicateValues" dxfId="959" priority="960"/>
    <cfRule type="duplicateValues" dxfId="958" priority="961"/>
  </conditionalFormatting>
  <conditionalFormatting sqref="A1051">
    <cfRule type="duplicateValues" dxfId="957" priority="958" stopIfTrue="1"/>
  </conditionalFormatting>
  <conditionalFormatting sqref="A1051">
    <cfRule type="duplicateValues" dxfId="956" priority="955" stopIfTrue="1"/>
    <cfRule type="duplicateValues" dxfId="955" priority="956" stopIfTrue="1"/>
    <cfRule type="cellIs" dxfId="954" priority="957" stopIfTrue="1" operator="equal">
      <formula>25504</formula>
    </cfRule>
  </conditionalFormatting>
  <conditionalFormatting sqref="A1052:A1053">
    <cfRule type="duplicateValues" dxfId="953" priority="954"/>
  </conditionalFormatting>
  <conditionalFormatting sqref="A1052:A1053">
    <cfRule type="duplicateValues" dxfId="952" priority="953"/>
  </conditionalFormatting>
  <conditionalFormatting sqref="A1052:A1053">
    <cfRule type="duplicateValues" dxfId="951" priority="952"/>
  </conditionalFormatting>
  <conditionalFormatting sqref="A1052:A1053">
    <cfRule type="duplicateValues" dxfId="950" priority="951"/>
  </conditionalFormatting>
  <conditionalFormatting sqref="A1052:A1053">
    <cfRule type="duplicateValues" dxfId="949" priority="950"/>
  </conditionalFormatting>
  <conditionalFormatting sqref="A1052:A1053">
    <cfRule type="duplicateValues" dxfId="948" priority="948"/>
    <cfRule type="duplicateValues" dxfId="947" priority="949"/>
  </conditionalFormatting>
  <conditionalFormatting sqref="A1052:A1053">
    <cfRule type="duplicateValues" dxfId="946" priority="947"/>
  </conditionalFormatting>
  <conditionalFormatting sqref="A1052:A1053">
    <cfRule type="duplicateValues" dxfId="945" priority="946"/>
  </conditionalFormatting>
  <conditionalFormatting sqref="A1052:A1053">
    <cfRule type="duplicateValues" dxfId="944" priority="943"/>
    <cfRule type="duplicateValues" dxfId="943" priority="944"/>
    <cfRule type="duplicateValues" dxfId="942" priority="945"/>
  </conditionalFormatting>
  <conditionalFormatting sqref="A1052:A1053">
    <cfRule type="duplicateValues" dxfId="941" priority="942"/>
  </conditionalFormatting>
  <conditionalFormatting sqref="A1052:A1053">
    <cfRule type="duplicateValues" dxfId="940" priority="941"/>
  </conditionalFormatting>
  <conditionalFormatting sqref="A1052:A1053">
    <cfRule type="duplicateValues" dxfId="939" priority="940"/>
  </conditionalFormatting>
  <conditionalFormatting sqref="A1052:A1053">
    <cfRule type="duplicateValues" dxfId="938" priority="939"/>
  </conditionalFormatting>
  <conditionalFormatting sqref="A1052:A1053">
    <cfRule type="duplicateValues" dxfId="937" priority="938"/>
  </conditionalFormatting>
  <conditionalFormatting sqref="A1052:A1053">
    <cfRule type="duplicateValues" dxfId="936" priority="937"/>
  </conditionalFormatting>
  <conditionalFormatting sqref="A1052:A1053">
    <cfRule type="duplicateValues" dxfId="935" priority="936"/>
  </conditionalFormatting>
  <conditionalFormatting sqref="A1052:A1053">
    <cfRule type="duplicateValues" dxfId="934" priority="935"/>
  </conditionalFormatting>
  <conditionalFormatting sqref="A1052:A1053">
    <cfRule type="duplicateValues" dxfId="933" priority="934"/>
  </conditionalFormatting>
  <conditionalFormatting sqref="A1052:A1053">
    <cfRule type="duplicateValues" dxfId="932" priority="933"/>
  </conditionalFormatting>
  <conditionalFormatting sqref="A1052:A1053">
    <cfRule type="duplicateValues" dxfId="931" priority="932"/>
  </conditionalFormatting>
  <conditionalFormatting sqref="A1052:A1053">
    <cfRule type="duplicateValues" dxfId="930" priority="931"/>
  </conditionalFormatting>
  <conditionalFormatting sqref="A1052:A1053">
    <cfRule type="duplicateValues" dxfId="929" priority="930"/>
  </conditionalFormatting>
  <conditionalFormatting sqref="A1052:A1053">
    <cfRule type="duplicateValues" dxfId="928" priority="929"/>
  </conditionalFormatting>
  <conditionalFormatting sqref="A1052:A1053">
    <cfRule type="duplicateValues" dxfId="927" priority="928"/>
  </conditionalFormatting>
  <conditionalFormatting sqref="A1052:A1053">
    <cfRule type="duplicateValues" dxfId="926" priority="926"/>
    <cfRule type="duplicateValues" dxfId="925" priority="927"/>
  </conditionalFormatting>
  <conditionalFormatting sqref="A1052:A1053">
    <cfRule type="duplicateValues" dxfId="924" priority="925"/>
  </conditionalFormatting>
  <conditionalFormatting sqref="A1052:A1053">
    <cfRule type="duplicateValues" dxfId="923" priority="924"/>
  </conditionalFormatting>
  <conditionalFormatting sqref="A1052:A1053">
    <cfRule type="duplicateValues" dxfId="922" priority="923"/>
  </conditionalFormatting>
  <conditionalFormatting sqref="A1052:A1053">
    <cfRule type="duplicateValues" dxfId="921" priority="921"/>
    <cfRule type="duplicateValues" dxfId="920" priority="922"/>
  </conditionalFormatting>
  <conditionalFormatting sqref="A1052:A1053">
    <cfRule type="duplicateValues" dxfId="919" priority="920"/>
  </conditionalFormatting>
  <conditionalFormatting sqref="A1052:A1053">
    <cfRule type="duplicateValues" dxfId="918" priority="919"/>
  </conditionalFormatting>
  <conditionalFormatting sqref="A1052:A1053">
    <cfRule type="duplicateValues" dxfId="917" priority="917"/>
    <cfRule type="duplicateValues" dxfId="916" priority="918"/>
  </conditionalFormatting>
  <conditionalFormatting sqref="A1052:A1053">
    <cfRule type="duplicateValues" dxfId="915" priority="916" stopIfTrue="1"/>
  </conditionalFormatting>
  <conditionalFormatting sqref="A1052:A1053">
    <cfRule type="duplicateValues" dxfId="914" priority="915" stopIfTrue="1"/>
  </conditionalFormatting>
  <conditionalFormatting sqref="A1052:A1053">
    <cfRule type="duplicateValues" dxfId="913" priority="914" stopIfTrue="1"/>
  </conditionalFormatting>
  <conditionalFormatting sqref="A1052:A1053">
    <cfRule type="duplicateValues" dxfId="912" priority="913" stopIfTrue="1"/>
  </conditionalFormatting>
  <conditionalFormatting sqref="A1052:A1053">
    <cfRule type="duplicateValues" dxfId="911" priority="912" stopIfTrue="1"/>
  </conditionalFormatting>
  <conditionalFormatting sqref="A1052:A1053">
    <cfRule type="duplicateValues" dxfId="910" priority="911" stopIfTrue="1"/>
  </conditionalFormatting>
  <conditionalFormatting sqref="A1052:A1053">
    <cfRule type="duplicateValues" dxfId="909" priority="908" stopIfTrue="1"/>
    <cfRule type="duplicateValues" dxfId="908" priority="909" stopIfTrue="1"/>
    <cfRule type="duplicateValues" dxfId="907" priority="910" stopIfTrue="1"/>
  </conditionalFormatting>
  <conditionalFormatting sqref="A1052:A1053">
    <cfRule type="duplicateValues" dxfId="906" priority="907" stopIfTrue="1"/>
  </conditionalFormatting>
  <conditionalFormatting sqref="A1052:A1053">
    <cfRule type="duplicateValues" dxfId="905" priority="906" stopIfTrue="1"/>
  </conditionalFormatting>
  <conditionalFormatting sqref="A1052:A1053">
    <cfRule type="duplicateValues" dxfId="904" priority="904" stopIfTrue="1"/>
    <cfRule type="duplicateValues" dxfId="903" priority="905" stopIfTrue="1"/>
  </conditionalFormatting>
  <conditionalFormatting sqref="A1052:A1053">
    <cfRule type="duplicateValues" dxfId="902" priority="901" stopIfTrue="1"/>
    <cfRule type="duplicateValues" dxfId="901" priority="902" stopIfTrue="1"/>
    <cfRule type="cellIs" dxfId="900" priority="903" stopIfTrue="1" operator="equal">
      <formula>25504</formula>
    </cfRule>
  </conditionalFormatting>
  <conditionalFormatting sqref="A1052:A1053">
    <cfRule type="duplicateValues" dxfId="899" priority="900" stopIfTrue="1"/>
  </conditionalFormatting>
  <conditionalFormatting sqref="A1052:A1053">
    <cfRule type="duplicateValues" dxfId="898" priority="898" stopIfTrue="1"/>
    <cfRule type="duplicateValues" dxfId="897" priority="899" stopIfTrue="1"/>
  </conditionalFormatting>
  <conditionalFormatting sqref="A1052:A1053">
    <cfRule type="duplicateValues" dxfId="896" priority="897" stopIfTrue="1"/>
  </conditionalFormatting>
  <conditionalFormatting sqref="A1052:A1053">
    <cfRule type="duplicateValues" dxfId="895" priority="896" stopIfTrue="1"/>
  </conditionalFormatting>
  <conditionalFormatting sqref="A1052:A1053">
    <cfRule type="duplicateValues" dxfId="894" priority="895" stopIfTrue="1"/>
  </conditionalFormatting>
  <conditionalFormatting sqref="A1052:A1053">
    <cfRule type="duplicateValues" dxfId="893" priority="892" stopIfTrue="1"/>
    <cfRule type="duplicateValues" dxfId="892" priority="893" stopIfTrue="1"/>
    <cfRule type="duplicateValues" dxfId="891" priority="894" stopIfTrue="1"/>
  </conditionalFormatting>
  <conditionalFormatting sqref="A1052:A1053">
    <cfRule type="duplicateValues" dxfId="890" priority="891" stopIfTrue="1"/>
  </conditionalFormatting>
  <conditionalFormatting sqref="A1052:A1053">
    <cfRule type="duplicateValues" dxfId="889" priority="890" stopIfTrue="1"/>
  </conditionalFormatting>
  <conditionalFormatting sqref="A1052:A1053">
    <cfRule type="duplicateValues" dxfId="888" priority="889" stopIfTrue="1"/>
  </conditionalFormatting>
  <conditionalFormatting sqref="A1052:A1053">
    <cfRule type="duplicateValues" dxfId="887" priority="888" stopIfTrue="1"/>
  </conditionalFormatting>
  <conditionalFormatting sqref="A1052:A1053">
    <cfRule type="duplicateValues" dxfId="886" priority="886" stopIfTrue="1"/>
    <cfRule type="duplicateValues" dxfId="885" priority="887" stopIfTrue="1"/>
  </conditionalFormatting>
  <conditionalFormatting sqref="A1052:A1053">
    <cfRule type="duplicateValues" dxfId="884" priority="885" stopIfTrue="1"/>
  </conditionalFormatting>
  <conditionalFormatting sqref="A1052:A1053">
    <cfRule type="duplicateValues" dxfId="883" priority="884" stopIfTrue="1"/>
  </conditionalFormatting>
  <conditionalFormatting sqref="A1052:A1053">
    <cfRule type="duplicateValues" dxfId="882" priority="883" stopIfTrue="1"/>
  </conditionalFormatting>
  <conditionalFormatting sqref="A1052:A1053">
    <cfRule type="duplicateValues" dxfId="881" priority="880" stopIfTrue="1"/>
    <cfRule type="duplicateValues" dxfId="880" priority="881" stopIfTrue="1"/>
    <cfRule type="duplicateValues" dxfId="879" priority="882" stopIfTrue="1"/>
  </conditionalFormatting>
  <conditionalFormatting sqref="A1052:A1053">
    <cfRule type="duplicateValues" dxfId="878" priority="879" stopIfTrue="1"/>
  </conditionalFormatting>
  <conditionalFormatting sqref="A1052:A1053">
    <cfRule type="duplicateValues" dxfId="877" priority="878" stopIfTrue="1"/>
  </conditionalFormatting>
  <conditionalFormatting sqref="A1052:A1053">
    <cfRule type="duplicateValues" dxfId="876" priority="876" stopIfTrue="1"/>
    <cfRule type="duplicateValues" dxfId="875" priority="877" stopIfTrue="1"/>
  </conditionalFormatting>
  <conditionalFormatting sqref="A1052:A1053">
    <cfRule type="duplicateValues" dxfId="874" priority="875" stopIfTrue="1"/>
  </conditionalFormatting>
  <conditionalFormatting sqref="A1052:A1053">
    <cfRule type="duplicateValues" dxfId="873" priority="874" stopIfTrue="1"/>
  </conditionalFormatting>
  <conditionalFormatting sqref="A1052:A1053">
    <cfRule type="duplicateValues" dxfId="872" priority="873" stopIfTrue="1"/>
  </conditionalFormatting>
  <conditionalFormatting sqref="A1052:A1053">
    <cfRule type="duplicateValues" dxfId="871" priority="872" stopIfTrue="1"/>
  </conditionalFormatting>
  <conditionalFormatting sqref="A1052:A1053">
    <cfRule type="duplicateValues" dxfId="870" priority="871" stopIfTrue="1"/>
  </conditionalFormatting>
  <conditionalFormatting sqref="A1052:A1053">
    <cfRule type="duplicateValues" dxfId="869" priority="868" stopIfTrue="1"/>
    <cfRule type="duplicateValues" dxfId="868" priority="869" stopIfTrue="1"/>
    <cfRule type="duplicateValues" dxfId="867" priority="870" stopIfTrue="1"/>
  </conditionalFormatting>
  <conditionalFormatting sqref="A1052:A1053">
    <cfRule type="duplicateValues" dxfId="866" priority="866" stopIfTrue="1"/>
    <cfRule type="duplicateValues" dxfId="865" priority="867" stopIfTrue="1"/>
  </conditionalFormatting>
  <conditionalFormatting sqref="A1053">
    <cfRule type="duplicateValues" dxfId="864" priority="865"/>
  </conditionalFormatting>
  <conditionalFormatting sqref="A1053">
    <cfRule type="duplicateValues" dxfId="863" priority="864"/>
  </conditionalFormatting>
  <conditionalFormatting sqref="A1053">
    <cfRule type="duplicateValues" dxfId="862" priority="863"/>
  </conditionalFormatting>
  <conditionalFormatting sqref="A1053">
    <cfRule type="duplicateValues" dxfId="861" priority="862"/>
  </conditionalFormatting>
  <conditionalFormatting sqref="A1053">
    <cfRule type="duplicateValues" dxfId="860" priority="861"/>
  </conditionalFormatting>
  <conditionalFormatting sqref="A1053">
    <cfRule type="duplicateValues" dxfId="859" priority="859"/>
    <cfRule type="duplicateValues" dxfId="858" priority="860"/>
  </conditionalFormatting>
  <conditionalFormatting sqref="A1053">
    <cfRule type="duplicateValues" dxfId="857" priority="858"/>
  </conditionalFormatting>
  <conditionalFormatting sqref="A1053">
    <cfRule type="duplicateValues" dxfId="856" priority="857"/>
  </conditionalFormatting>
  <conditionalFormatting sqref="A1053">
    <cfRule type="duplicateValues" dxfId="855" priority="854"/>
    <cfRule type="duplicateValues" dxfId="854" priority="855"/>
    <cfRule type="duplicateValues" dxfId="853" priority="856"/>
  </conditionalFormatting>
  <conditionalFormatting sqref="A1053">
    <cfRule type="duplicateValues" dxfId="852" priority="853"/>
  </conditionalFormatting>
  <conditionalFormatting sqref="A1053">
    <cfRule type="duplicateValues" dxfId="851" priority="852"/>
  </conditionalFormatting>
  <conditionalFormatting sqref="A1053">
    <cfRule type="duplicateValues" dxfId="850" priority="851"/>
  </conditionalFormatting>
  <conditionalFormatting sqref="A1053">
    <cfRule type="duplicateValues" dxfId="849" priority="850"/>
  </conditionalFormatting>
  <conditionalFormatting sqref="A1053">
    <cfRule type="duplicateValues" dxfId="848" priority="849"/>
  </conditionalFormatting>
  <conditionalFormatting sqref="A1053">
    <cfRule type="duplicateValues" dxfId="847" priority="848"/>
  </conditionalFormatting>
  <conditionalFormatting sqref="A1053">
    <cfRule type="duplicateValues" dxfId="846" priority="847"/>
  </conditionalFormatting>
  <conditionalFormatting sqref="A1053">
    <cfRule type="duplicateValues" dxfId="845" priority="846"/>
  </conditionalFormatting>
  <conditionalFormatting sqref="A1053">
    <cfRule type="duplicateValues" dxfId="844" priority="845"/>
  </conditionalFormatting>
  <conditionalFormatting sqref="A1053">
    <cfRule type="duplicateValues" dxfId="843" priority="844"/>
  </conditionalFormatting>
  <conditionalFormatting sqref="A1053">
    <cfRule type="duplicateValues" dxfId="842" priority="843"/>
  </conditionalFormatting>
  <conditionalFormatting sqref="A1053">
    <cfRule type="duplicateValues" dxfId="841" priority="842"/>
  </conditionalFormatting>
  <conditionalFormatting sqref="A1053">
    <cfRule type="duplicateValues" dxfId="840" priority="841"/>
  </conditionalFormatting>
  <conditionalFormatting sqref="A1053">
    <cfRule type="duplicateValues" dxfId="839" priority="840"/>
  </conditionalFormatting>
  <conditionalFormatting sqref="A1053">
    <cfRule type="duplicateValues" dxfId="838" priority="839"/>
  </conditionalFormatting>
  <conditionalFormatting sqref="A1053">
    <cfRule type="duplicateValues" dxfId="837" priority="837"/>
    <cfRule type="duplicateValues" dxfId="836" priority="838"/>
  </conditionalFormatting>
  <conditionalFormatting sqref="A1053">
    <cfRule type="duplicateValues" dxfId="835" priority="836"/>
  </conditionalFormatting>
  <conditionalFormatting sqref="A1053">
    <cfRule type="duplicateValues" dxfId="834" priority="835"/>
  </conditionalFormatting>
  <conditionalFormatting sqref="A1053">
    <cfRule type="duplicateValues" dxfId="833" priority="834"/>
  </conditionalFormatting>
  <conditionalFormatting sqref="A1053">
    <cfRule type="duplicateValues" dxfId="832" priority="832"/>
    <cfRule type="duplicateValues" dxfId="831" priority="833"/>
  </conditionalFormatting>
  <conditionalFormatting sqref="A1053">
    <cfRule type="duplicateValues" dxfId="830" priority="831"/>
  </conditionalFormatting>
  <conditionalFormatting sqref="A1053">
    <cfRule type="duplicateValues" dxfId="829" priority="830"/>
  </conditionalFormatting>
  <conditionalFormatting sqref="A1053">
    <cfRule type="duplicateValues" dxfId="828" priority="828"/>
    <cfRule type="duplicateValues" dxfId="827" priority="829"/>
  </conditionalFormatting>
  <conditionalFormatting sqref="A1053">
    <cfRule type="duplicateValues" dxfId="826" priority="827" stopIfTrue="1"/>
  </conditionalFormatting>
  <conditionalFormatting sqref="A1053">
    <cfRule type="duplicateValues" dxfId="825" priority="826" stopIfTrue="1"/>
  </conditionalFormatting>
  <conditionalFormatting sqref="A1053">
    <cfRule type="duplicateValues" dxfId="824" priority="825" stopIfTrue="1"/>
  </conditionalFormatting>
  <conditionalFormatting sqref="A1053">
    <cfRule type="duplicateValues" dxfId="823" priority="824" stopIfTrue="1"/>
  </conditionalFormatting>
  <conditionalFormatting sqref="A1053">
    <cfRule type="duplicateValues" dxfId="822" priority="823" stopIfTrue="1"/>
  </conditionalFormatting>
  <conditionalFormatting sqref="A1053">
    <cfRule type="duplicateValues" dxfId="821" priority="822" stopIfTrue="1"/>
  </conditionalFormatting>
  <conditionalFormatting sqref="A1053">
    <cfRule type="duplicateValues" dxfId="820" priority="819" stopIfTrue="1"/>
    <cfRule type="duplicateValues" dxfId="819" priority="820" stopIfTrue="1"/>
    <cfRule type="duplicateValues" dxfId="818" priority="821" stopIfTrue="1"/>
  </conditionalFormatting>
  <conditionalFormatting sqref="A1053">
    <cfRule type="duplicateValues" dxfId="817" priority="818" stopIfTrue="1"/>
  </conditionalFormatting>
  <conditionalFormatting sqref="A1053">
    <cfRule type="duplicateValues" dxfId="816" priority="817" stopIfTrue="1"/>
  </conditionalFormatting>
  <conditionalFormatting sqref="A1053">
    <cfRule type="duplicateValues" dxfId="815" priority="815" stopIfTrue="1"/>
    <cfRule type="duplicateValues" dxfId="814" priority="816" stopIfTrue="1"/>
  </conditionalFormatting>
  <conditionalFormatting sqref="A1053">
    <cfRule type="duplicateValues" dxfId="813" priority="812" stopIfTrue="1"/>
    <cfRule type="duplicateValues" dxfId="812" priority="813" stopIfTrue="1"/>
    <cfRule type="cellIs" dxfId="811" priority="814" stopIfTrue="1" operator="equal">
      <formula>25504</formula>
    </cfRule>
  </conditionalFormatting>
  <conditionalFormatting sqref="A1053">
    <cfRule type="duplicateValues" dxfId="810" priority="811" stopIfTrue="1"/>
  </conditionalFormatting>
  <conditionalFormatting sqref="A1053">
    <cfRule type="duplicateValues" dxfId="809" priority="809" stopIfTrue="1"/>
    <cfRule type="duplicateValues" dxfId="808" priority="810" stopIfTrue="1"/>
  </conditionalFormatting>
  <conditionalFormatting sqref="A1053">
    <cfRule type="duplicateValues" dxfId="807" priority="808" stopIfTrue="1"/>
  </conditionalFormatting>
  <conditionalFormatting sqref="A1053">
    <cfRule type="duplicateValues" dxfId="806" priority="807" stopIfTrue="1"/>
  </conditionalFormatting>
  <conditionalFormatting sqref="A1053">
    <cfRule type="duplicateValues" dxfId="805" priority="806" stopIfTrue="1"/>
  </conditionalFormatting>
  <conditionalFormatting sqref="A1053">
    <cfRule type="duplicateValues" dxfId="804" priority="803" stopIfTrue="1"/>
    <cfRule type="duplicateValues" dxfId="803" priority="804" stopIfTrue="1"/>
    <cfRule type="duplicateValues" dxfId="802" priority="805" stopIfTrue="1"/>
  </conditionalFormatting>
  <conditionalFormatting sqref="A1053">
    <cfRule type="duplicateValues" dxfId="801" priority="802" stopIfTrue="1"/>
  </conditionalFormatting>
  <conditionalFormatting sqref="A1053">
    <cfRule type="duplicateValues" dxfId="800" priority="801" stopIfTrue="1"/>
  </conditionalFormatting>
  <conditionalFormatting sqref="A1053">
    <cfRule type="duplicateValues" dxfId="799" priority="800" stopIfTrue="1"/>
  </conditionalFormatting>
  <conditionalFormatting sqref="A1053">
    <cfRule type="duplicateValues" dxfId="798" priority="799" stopIfTrue="1"/>
  </conditionalFormatting>
  <conditionalFormatting sqref="A1053">
    <cfRule type="duplicateValues" dxfId="797" priority="797" stopIfTrue="1"/>
    <cfRule type="duplicateValues" dxfId="796" priority="798" stopIfTrue="1"/>
  </conditionalFormatting>
  <conditionalFormatting sqref="A1053">
    <cfRule type="duplicateValues" dxfId="795" priority="796" stopIfTrue="1"/>
  </conditionalFormatting>
  <conditionalFormatting sqref="A1053">
    <cfRule type="duplicateValues" dxfId="794" priority="795" stopIfTrue="1"/>
  </conditionalFormatting>
  <conditionalFormatting sqref="A1053">
    <cfRule type="duplicateValues" dxfId="793" priority="794" stopIfTrue="1"/>
  </conditionalFormatting>
  <conditionalFormatting sqref="A1053">
    <cfRule type="duplicateValues" dxfId="792" priority="791" stopIfTrue="1"/>
    <cfRule type="duplicateValues" dxfId="791" priority="792" stopIfTrue="1"/>
    <cfRule type="duplicateValues" dxfId="790" priority="793" stopIfTrue="1"/>
  </conditionalFormatting>
  <conditionalFormatting sqref="A1053">
    <cfRule type="duplicateValues" dxfId="789" priority="790" stopIfTrue="1"/>
  </conditionalFormatting>
  <conditionalFormatting sqref="A1053">
    <cfRule type="duplicateValues" dxfId="788" priority="789" stopIfTrue="1"/>
  </conditionalFormatting>
  <conditionalFormatting sqref="A1053">
    <cfRule type="duplicateValues" dxfId="787" priority="787" stopIfTrue="1"/>
    <cfRule type="duplicateValues" dxfId="786" priority="788" stopIfTrue="1"/>
  </conditionalFormatting>
  <conditionalFormatting sqref="A1053">
    <cfRule type="duplicateValues" dxfId="785" priority="786" stopIfTrue="1"/>
  </conditionalFormatting>
  <conditionalFormatting sqref="A1053">
    <cfRule type="duplicateValues" dxfId="784" priority="785" stopIfTrue="1"/>
  </conditionalFormatting>
  <conditionalFormatting sqref="A1053">
    <cfRule type="duplicateValues" dxfId="783" priority="784" stopIfTrue="1"/>
  </conditionalFormatting>
  <conditionalFormatting sqref="A1053">
    <cfRule type="duplicateValues" dxfId="782" priority="783" stopIfTrue="1"/>
  </conditionalFormatting>
  <conditionalFormatting sqref="A1053">
    <cfRule type="duplicateValues" dxfId="781" priority="782" stopIfTrue="1"/>
  </conditionalFormatting>
  <conditionalFormatting sqref="A1053">
    <cfRule type="duplicateValues" dxfId="780" priority="779" stopIfTrue="1"/>
    <cfRule type="duplicateValues" dxfId="779" priority="780" stopIfTrue="1"/>
    <cfRule type="duplicateValues" dxfId="778" priority="781" stopIfTrue="1"/>
  </conditionalFormatting>
  <conditionalFormatting sqref="A1053">
    <cfRule type="duplicateValues" dxfId="777" priority="777" stopIfTrue="1"/>
    <cfRule type="duplicateValues" dxfId="776" priority="778" stopIfTrue="1"/>
  </conditionalFormatting>
  <conditionalFormatting sqref="A1054">
    <cfRule type="duplicateValues" dxfId="775" priority="776"/>
  </conditionalFormatting>
  <conditionalFormatting sqref="A1054">
    <cfRule type="duplicateValues" dxfId="774" priority="775"/>
  </conditionalFormatting>
  <conditionalFormatting sqref="A1054">
    <cfRule type="duplicateValues" dxfId="773" priority="774"/>
  </conditionalFormatting>
  <conditionalFormatting sqref="A1054">
    <cfRule type="duplicateValues" dxfId="772" priority="773"/>
  </conditionalFormatting>
  <conditionalFormatting sqref="A1054">
    <cfRule type="duplicateValues" dxfId="771" priority="772"/>
  </conditionalFormatting>
  <conditionalFormatting sqref="A1054">
    <cfRule type="duplicateValues" dxfId="770" priority="770"/>
    <cfRule type="duplicateValues" dxfId="769" priority="771"/>
  </conditionalFormatting>
  <conditionalFormatting sqref="A1054">
    <cfRule type="duplicateValues" dxfId="768" priority="769"/>
  </conditionalFormatting>
  <conditionalFormatting sqref="A1054">
    <cfRule type="duplicateValues" dxfId="767" priority="768"/>
  </conditionalFormatting>
  <conditionalFormatting sqref="A1054">
    <cfRule type="duplicateValues" dxfId="766" priority="765"/>
    <cfRule type="duplicateValues" dxfId="765" priority="766"/>
    <cfRule type="duplicateValues" dxfId="764" priority="767"/>
  </conditionalFormatting>
  <conditionalFormatting sqref="A1054">
    <cfRule type="duplicateValues" dxfId="763" priority="764"/>
  </conditionalFormatting>
  <conditionalFormatting sqref="A1054">
    <cfRule type="duplicateValues" dxfId="762" priority="763"/>
  </conditionalFormatting>
  <conditionalFormatting sqref="A1054">
    <cfRule type="duplicateValues" dxfId="761" priority="762"/>
  </conditionalFormatting>
  <conditionalFormatting sqref="A1054">
    <cfRule type="duplicateValues" dxfId="760" priority="761"/>
  </conditionalFormatting>
  <conditionalFormatting sqref="A1054">
    <cfRule type="duplicateValues" dxfId="759" priority="760"/>
  </conditionalFormatting>
  <conditionalFormatting sqref="A1054">
    <cfRule type="duplicateValues" dxfId="758" priority="759"/>
  </conditionalFormatting>
  <conditionalFormatting sqref="A1054">
    <cfRule type="duplicateValues" dxfId="757" priority="758"/>
  </conditionalFormatting>
  <conditionalFormatting sqref="A1054">
    <cfRule type="duplicateValues" dxfId="756" priority="757"/>
  </conditionalFormatting>
  <conditionalFormatting sqref="A1054">
    <cfRule type="duplicateValues" dxfId="755" priority="756"/>
  </conditionalFormatting>
  <conditionalFormatting sqref="A1054">
    <cfRule type="duplicateValues" dxfId="754" priority="755"/>
  </conditionalFormatting>
  <conditionalFormatting sqref="A1054">
    <cfRule type="duplicateValues" dxfId="753" priority="754"/>
  </conditionalFormatting>
  <conditionalFormatting sqref="A1054">
    <cfRule type="duplicateValues" dxfId="752" priority="753"/>
  </conditionalFormatting>
  <conditionalFormatting sqref="A1054">
    <cfRule type="duplicateValues" dxfId="751" priority="752"/>
  </conditionalFormatting>
  <conditionalFormatting sqref="A1054">
    <cfRule type="duplicateValues" dxfId="750" priority="751"/>
  </conditionalFormatting>
  <conditionalFormatting sqref="A1054">
    <cfRule type="duplicateValues" dxfId="749" priority="750"/>
  </conditionalFormatting>
  <conditionalFormatting sqref="A1054">
    <cfRule type="duplicateValues" dxfId="748" priority="748"/>
    <cfRule type="duplicateValues" dxfId="747" priority="749"/>
  </conditionalFormatting>
  <conditionalFormatting sqref="A1054">
    <cfRule type="duplicateValues" dxfId="746" priority="747"/>
  </conditionalFormatting>
  <conditionalFormatting sqref="A1054">
    <cfRule type="duplicateValues" dxfId="745" priority="746"/>
  </conditionalFormatting>
  <conditionalFormatting sqref="A1054">
    <cfRule type="duplicateValues" dxfId="744" priority="745"/>
  </conditionalFormatting>
  <conditionalFormatting sqref="A1054">
    <cfRule type="duplicateValues" dxfId="743" priority="743"/>
    <cfRule type="duplicateValues" dxfId="742" priority="744"/>
  </conditionalFormatting>
  <conditionalFormatting sqref="A1054">
    <cfRule type="duplicateValues" dxfId="741" priority="742"/>
  </conditionalFormatting>
  <conditionalFormatting sqref="A1054">
    <cfRule type="duplicateValues" dxfId="740" priority="741"/>
  </conditionalFormatting>
  <conditionalFormatting sqref="A1054">
    <cfRule type="duplicateValues" dxfId="739" priority="739"/>
    <cfRule type="duplicateValues" dxfId="738" priority="740"/>
  </conditionalFormatting>
  <conditionalFormatting sqref="A1054">
    <cfRule type="duplicateValues" dxfId="737" priority="738" stopIfTrue="1"/>
  </conditionalFormatting>
  <conditionalFormatting sqref="A1054">
    <cfRule type="duplicateValues" dxfId="736" priority="737" stopIfTrue="1"/>
  </conditionalFormatting>
  <conditionalFormatting sqref="A1054">
    <cfRule type="duplicateValues" dxfId="735" priority="736" stopIfTrue="1"/>
  </conditionalFormatting>
  <conditionalFormatting sqref="A1054">
    <cfRule type="duplicateValues" dxfId="734" priority="735" stopIfTrue="1"/>
  </conditionalFormatting>
  <conditionalFormatting sqref="A1054">
    <cfRule type="duplicateValues" dxfId="733" priority="734" stopIfTrue="1"/>
  </conditionalFormatting>
  <conditionalFormatting sqref="A1054">
    <cfRule type="duplicateValues" dxfId="732" priority="733" stopIfTrue="1"/>
  </conditionalFormatting>
  <conditionalFormatting sqref="A1054">
    <cfRule type="duplicateValues" dxfId="731" priority="730" stopIfTrue="1"/>
    <cfRule type="duplicateValues" dxfId="730" priority="731" stopIfTrue="1"/>
    <cfRule type="duplicateValues" dxfId="729" priority="732" stopIfTrue="1"/>
  </conditionalFormatting>
  <conditionalFormatting sqref="A1054">
    <cfRule type="duplicateValues" dxfId="728" priority="729" stopIfTrue="1"/>
  </conditionalFormatting>
  <conditionalFormatting sqref="A1054">
    <cfRule type="duplicateValues" dxfId="727" priority="728" stopIfTrue="1"/>
  </conditionalFormatting>
  <conditionalFormatting sqref="A1054">
    <cfRule type="duplicateValues" dxfId="726" priority="726" stopIfTrue="1"/>
    <cfRule type="duplicateValues" dxfId="725" priority="727" stopIfTrue="1"/>
  </conditionalFormatting>
  <conditionalFormatting sqref="A1054">
    <cfRule type="duplicateValues" dxfId="724" priority="723" stopIfTrue="1"/>
    <cfRule type="duplicateValues" dxfId="723" priority="724" stopIfTrue="1"/>
    <cfRule type="cellIs" dxfId="722" priority="725" stopIfTrue="1" operator="equal">
      <formula>25504</formula>
    </cfRule>
  </conditionalFormatting>
  <conditionalFormatting sqref="A1054">
    <cfRule type="duplicateValues" dxfId="721" priority="722" stopIfTrue="1"/>
  </conditionalFormatting>
  <conditionalFormatting sqref="A1054">
    <cfRule type="duplicateValues" dxfId="720" priority="720" stopIfTrue="1"/>
    <cfRule type="duplicateValues" dxfId="719" priority="721" stopIfTrue="1"/>
  </conditionalFormatting>
  <conditionalFormatting sqref="A1054">
    <cfRule type="duplicateValues" dxfId="718" priority="719" stopIfTrue="1"/>
  </conditionalFormatting>
  <conditionalFormatting sqref="A1054">
    <cfRule type="duplicateValues" dxfId="717" priority="718" stopIfTrue="1"/>
  </conditionalFormatting>
  <conditionalFormatting sqref="A1054">
    <cfRule type="duplicateValues" dxfId="716" priority="717" stopIfTrue="1"/>
  </conditionalFormatting>
  <conditionalFormatting sqref="A1054">
    <cfRule type="duplicateValues" dxfId="715" priority="714" stopIfTrue="1"/>
    <cfRule type="duplicateValues" dxfId="714" priority="715" stopIfTrue="1"/>
    <cfRule type="duplicateValues" dxfId="713" priority="716" stopIfTrue="1"/>
  </conditionalFormatting>
  <conditionalFormatting sqref="A1054">
    <cfRule type="duplicateValues" dxfId="712" priority="713" stopIfTrue="1"/>
  </conditionalFormatting>
  <conditionalFormatting sqref="A1054">
    <cfRule type="duplicateValues" dxfId="711" priority="712" stopIfTrue="1"/>
  </conditionalFormatting>
  <conditionalFormatting sqref="A1054">
    <cfRule type="duplicateValues" dxfId="710" priority="711" stopIfTrue="1"/>
  </conditionalFormatting>
  <conditionalFormatting sqref="A1054">
    <cfRule type="duplicateValues" dxfId="709" priority="710" stopIfTrue="1"/>
  </conditionalFormatting>
  <conditionalFormatting sqref="A1054">
    <cfRule type="duplicateValues" dxfId="708" priority="708" stopIfTrue="1"/>
    <cfRule type="duplicateValues" dxfId="707" priority="709" stopIfTrue="1"/>
  </conditionalFormatting>
  <conditionalFormatting sqref="A1054">
    <cfRule type="duplicateValues" dxfId="706" priority="707" stopIfTrue="1"/>
  </conditionalFormatting>
  <conditionalFormatting sqref="A1054">
    <cfRule type="duplicateValues" dxfId="705" priority="706" stopIfTrue="1"/>
  </conditionalFormatting>
  <conditionalFormatting sqref="A1054">
    <cfRule type="duplicateValues" dxfId="704" priority="705" stopIfTrue="1"/>
  </conditionalFormatting>
  <conditionalFormatting sqref="A1054">
    <cfRule type="duplicateValues" dxfId="703" priority="702" stopIfTrue="1"/>
    <cfRule type="duplicateValues" dxfId="702" priority="703" stopIfTrue="1"/>
    <cfRule type="duplicateValues" dxfId="701" priority="704" stopIfTrue="1"/>
  </conditionalFormatting>
  <conditionalFormatting sqref="A1054">
    <cfRule type="duplicateValues" dxfId="700" priority="701" stopIfTrue="1"/>
  </conditionalFormatting>
  <conditionalFormatting sqref="A1054">
    <cfRule type="duplicateValues" dxfId="699" priority="700" stopIfTrue="1"/>
  </conditionalFormatting>
  <conditionalFormatting sqref="A1054">
    <cfRule type="duplicateValues" dxfId="698" priority="698" stopIfTrue="1"/>
    <cfRule type="duplicateValues" dxfId="697" priority="699" stopIfTrue="1"/>
  </conditionalFormatting>
  <conditionalFormatting sqref="A1054">
    <cfRule type="duplicateValues" dxfId="696" priority="697" stopIfTrue="1"/>
  </conditionalFormatting>
  <conditionalFormatting sqref="A1054">
    <cfRule type="duplicateValues" dxfId="695" priority="696" stopIfTrue="1"/>
  </conditionalFormatting>
  <conditionalFormatting sqref="A1054">
    <cfRule type="duplicateValues" dxfId="694" priority="695" stopIfTrue="1"/>
  </conditionalFormatting>
  <conditionalFormatting sqref="A1054">
    <cfRule type="duplicateValues" dxfId="693" priority="694"/>
  </conditionalFormatting>
  <conditionalFormatting sqref="A1054">
    <cfRule type="duplicateValues" dxfId="692" priority="693"/>
  </conditionalFormatting>
  <conditionalFormatting sqref="A1054">
    <cfRule type="duplicateValues" dxfId="691" priority="692"/>
  </conditionalFormatting>
  <conditionalFormatting sqref="A1054">
    <cfRule type="duplicateValues" dxfId="690" priority="691"/>
  </conditionalFormatting>
  <conditionalFormatting sqref="A1054">
    <cfRule type="duplicateValues" dxfId="689" priority="690"/>
  </conditionalFormatting>
  <conditionalFormatting sqref="A1054">
    <cfRule type="duplicateValues" dxfId="688" priority="688"/>
    <cfRule type="duplicateValues" dxfId="687" priority="689"/>
  </conditionalFormatting>
  <conditionalFormatting sqref="A1054">
    <cfRule type="duplicateValues" dxfId="686" priority="687"/>
  </conditionalFormatting>
  <conditionalFormatting sqref="A1054">
    <cfRule type="duplicateValues" dxfId="685" priority="686"/>
  </conditionalFormatting>
  <conditionalFormatting sqref="A1054">
    <cfRule type="duplicateValues" dxfId="684" priority="683"/>
    <cfRule type="duplicateValues" dxfId="683" priority="684"/>
    <cfRule type="duplicateValues" dxfId="682" priority="685"/>
  </conditionalFormatting>
  <conditionalFormatting sqref="A1054">
    <cfRule type="duplicateValues" dxfId="681" priority="682"/>
  </conditionalFormatting>
  <conditionalFormatting sqref="A1054">
    <cfRule type="duplicateValues" dxfId="680" priority="681"/>
  </conditionalFormatting>
  <conditionalFormatting sqref="A1054">
    <cfRule type="duplicateValues" dxfId="679" priority="680"/>
  </conditionalFormatting>
  <conditionalFormatting sqref="A1054">
    <cfRule type="duplicateValues" dxfId="678" priority="679"/>
  </conditionalFormatting>
  <conditionalFormatting sqref="A1054">
    <cfRule type="duplicateValues" dxfId="677" priority="678"/>
  </conditionalFormatting>
  <conditionalFormatting sqref="A1054">
    <cfRule type="duplicateValues" dxfId="676" priority="677"/>
  </conditionalFormatting>
  <conditionalFormatting sqref="A1054">
    <cfRule type="duplicateValues" dxfId="675" priority="676"/>
  </conditionalFormatting>
  <conditionalFormatting sqref="A1054">
    <cfRule type="duplicateValues" dxfId="674" priority="675"/>
  </conditionalFormatting>
  <conditionalFormatting sqref="A1054">
    <cfRule type="duplicateValues" dxfId="673" priority="674"/>
  </conditionalFormatting>
  <conditionalFormatting sqref="A1054">
    <cfRule type="duplicateValues" dxfId="672" priority="673"/>
  </conditionalFormatting>
  <conditionalFormatting sqref="A1054">
    <cfRule type="duplicateValues" dxfId="671" priority="672"/>
  </conditionalFormatting>
  <conditionalFormatting sqref="A1054">
    <cfRule type="duplicateValues" dxfId="670" priority="671"/>
  </conditionalFormatting>
  <conditionalFormatting sqref="A1054">
    <cfRule type="duplicateValues" dxfId="669" priority="670"/>
  </conditionalFormatting>
  <conditionalFormatting sqref="A1054">
    <cfRule type="duplicateValues" dxfId="668" priority="669"/>
  </conditionalFormatting>
  <conditionalFormatting sqref="A1054">
    <cfRule type="duplicateValues" dxfId="667" priority="668"/>
  </conditionalFormatting>
  <conditionalFormatting sqref="A1054">
    <cfRule type="duplicateValues" dxfId="666" priority="666"/>
    <cfRule type="duplicateValues" dxfId="665" priority="667"/>
  </conditionalFormatting>
  <conditionalFormatting sqref="A1054">
    <cfRule type="duplicateValues" dxfId="664" priority="665"/>
  </conditionalFormatting>
  <conditionalFormatting sqref="A1054">
    <cfRule type="duplicateValues" dxfId="663" priority="664"/>
  </conditionalFormatting>
  <conditionalFormatting sqref="A1054">
    <cfRule type="duplicateValues" dxfId="662" priority="663"/>
  </conditionalFormatting>
  <conditionalFormatting sqref="A1054">
    <cfRule type="duplicateValues" dxfId="661" priority="661"/>
    <cfRule type="duplicateValues" dxfId="660" priority="662"/>
  </conditionalFormatting>
  <conditionalFormatting sqref="A1054">
    <cfRule type="duplicateValues" dxfId="659" priority="660"/>
  </conditionalFormatting>
  <conditionalFormatting sqref="A1054">
    <cfRule type="duplicateValues" dxfId="658" priority="659"/>
  </conditionalFormatting>
  <conditionalFormatting sqref="A1054">
    <cfRule type="duplicateValues" dxfId="657" priority="657"/>
    <cfRule type="duplicateValues" dxfId="656" priority="658"/>
  </conditionalFormatting>
  <conditionalFormatting sqref="A1054">
    <cfRule type="duplicateValues" dxfId="655" priority="654" stopIfTrue="1"/>
    <cfRule type="duplicateValues" dxfId="654" priority="655" stopIfTrue="1"/>
    <cfRule type="cellIs" dxfId="653" priority="656" stopIfTrue="1" operator="equal">
      <formula>25504</formula>
    </cfRule>
  </conditionalFormatting>
  <conditionalFormatting sqref="A1054">
    <cfRule type="duplicateValues" dxfId="652" priority="653" stopIfTrue="1"/>
  </conditionalFormatting>
  <conditionalFormatting sqref="A1054">
    <cfRule type="duplicateValues" dxfId="651" priority="650" stopIfTrue="1"/>
    <cfRule type="duplicateValues" dxfId="650" priority="651" stopIfTrue="1"/>
    <cfRule type="duplicateValues" dxfId="649" priority="652" stopIfTrue="1"/>
  </conditionalFormatting>
  <conditionalFormatting sqref="A1054">
    <cfRule type="duplicateValues" dxfId="648" priority="648" stopIfTrue="1"/>
    <cfRule type="duplicateValues" dxfId="647" priority="649" stopIfTrue="1"/>
  </conditionalFormatting>
  <conditionalFormatting sqref="A1054">
    <cfRule type="duplicateValues" dxfId="646" priority="645" stopIfTrue="1"/>
    <cfRule type="duplicateValues" dxfId="645" priority="646" stopIfTrue="1"/>
    <cfRule type="cellIs" dxfId="644" priority="647" stopIfTrue="1" operator="equal">
      <formula>25504</formula>
    </cfRule>
  </conditionalFormatting>
  <conditionalFormatting sqref="A1054">
    <cfRule type="duplicateValues" dxfId="643" priority="644" stopIfTrue="1"/>
  </conditionalFormatting>
  <conditionalFormatting sqref="A1054">
    <cfRule type="duplicateValues" dxfId="642" priority="641" stopIfTrue="1"/>
    <cfRule type="duplicateValues" dxfId="641" priority="642" stopIfTrue="1"/>
    <cfRule type="duplicateValues" dxfId="640" priority="643" stopIfTrue="1"/>
  </conditionalFormatting>
  <conditionalFormatting sqref="A1054">
    <cfRule type="duplicateValues" dxfId="639" priority="639" stopIfTrue="1"/>
    <cfRule type="duplicateValues" dxfId="638" priority="640" stopIfTrue="1"/>
  </conditionalFormatting>
  <conditionalFormatting sqref="A1054">
    <cfRule type="duplicateValues" dxfId="637" priority="638" stopIfTrue="1"/>
  </conditionalFormatting>
  <conditionalFormatting sqref="A1054">
    <cfRule type="duplicateValues" dxfId="636" priority="637"/>
  </conditionalFormatting>
  <conditionalFormatting sqref="A1054">
    <cfRule type="duplicateValues" dxfId="635" priority="634"/>
    <cfRule type="duplicateValues" dxfId="634" priority="635"/>
    <cfRule type="duplicateValues" dxfId="633" priority="636"/>
  </conditionalFormatting>
  <conditionalFormatting sqref="A1054">
    <cfRule type="duplicateValues" dxfId="632" priority="633"/>
  </conditionalFormatting>
  <conditionalFormatting sqref="A1054">
    <cfRule type="duplicateValues" dxfId="631" priority="632"/>
  </conditionalFormatting>
  <conditionalFormatting sqref="A1054">
    <cfRule type="duplicateValues" dxfId="630" priority="631"/>
  </conditionalFormatting>
  <conditionalFormatting sqref="A1054">
    <cfRule type="duplicateValues" dxfId="629" priority="630"/>
  </conditionalFormatting>
  <conditionalFormatting sqref="A1054">
    <cfRule type="duplicateValues" dxfId="628" priority="629"/>
  </conditionalFormatting>
  <conditionalFormatting sqref="A1054">
    <cfRule type="duplicateValues" dxfId="627" priority="628"/>
  </conditionalFormatting>
  <conditionalFormatting sqref="A1054">
    <cfRule type="duplicateValues" dxfId="626" priority="627" stopIfTrue="1"/>
  </conditionalFormatting>
  <conditionalFormatting sqref="A1054">
    <cfRule type="duplicateValues" dxfId="625" priority="624" stopIfTrue="1"/>
    <cfRule type="duplicateValues" dxfId="624" priority="625" stopIfTrue="1"/>
    <cfRule type="duplicateValues" dxfId="623" priority="626" stopIfTrue="1"/>
  </conditionalFormatting>
  <conditionalFormatting sqref="A1054">
    <cfRule type="duplicateValues" dxfId="622" priority="622" stopIfTrue="1"/>
    <cfRule type="duplicateValues" dxfId="621" priority="623" stopIfTrue="1"/>
  </conditionalFormatting>
  <conditionalFormatting sqref="A1054">
    <cfRule type="duplicateValues" dxfId="620" priority="619" stopIfTrue="1"/>
    <cfRule type="duplicateValues" dxfId="619" priority="620" stopIfTrue="1"/>
    <cfRule type="cellIs" dxfId="618" priority="621" stopIfTrue="1" operator="equal">
      <formula>25504</formula>
    </cfRule>
  </conditionalFormatting>
  <conditionalFormatting sqref="A1054">
    <cfRule type="duplicateValues" dxfId="617" priority="618"/>
  </conditionalFormatting>
  <conditionalFormatting sqref="A1054">
    <cfRule type="duplicateValues" dxfId="616" priority="617"/>
  </conditionalFormatting>
  <conditionalFormatting sqref="A1054">
    <cfRule type="duplicateValues" dxfId="615" priority="616"/>
  </conditionalFormatting>
  <conditionalFormatting sqref="A1054">
    <cfRule type="duplicateValues" dxfId="614" priority="615"/>
  </conditionalFormatting>
  <conditionalFormatting sqref="A1054">
    <cfRule type="duplicateValues" dxfId="613" priority="614"/>
  </conditionalFormatting>
  <conditionalFormatting sqref="A1054">
    <cfRule type="duplicateValues" dxfId="612" priority="613"/>
  </conditionalFormatting>
  <conditionalFormatting sqref="A1054">
    <cfRule type="duplicateValues" dxfId="611" priority="610"/>
    <cfRule type="duplicateValues" dxfId="610" priority="611"/>
    <cfRule type="duplicateValues" dxfId="609" priority="612"/>
  </conditionalFormatting>
  <conditionalFormatting sqref="A1054">
    <cfRule type="duplicateValues" dxfId="608" priority="609"/>
  </conditionalFormatting>
  <conditionalFormatting sqref="A1054">
    <cfRule type="duplicateValues" dxfId="607" priority="608"/>
  </conditionalFormatting>
  <conditionalFormatting sqref="A1054">
    <cfRule type="duplicateValues" dxfId="606" priority="607"/>
  </conditionalFormatting>
  <conditionalFormatting sqref="A1054">
    <cfRule type="duplicateValues" dxfId="605" priority="606"/>
  </conditionalFormatting>
  <conditionalFormatting sqref="A1054">
    <cfRule type="duplicateValues" dxfId="604" priority="605"/>
  </conditionalFormatting>
  <conditionalFormatting sqref="A1054">
    <cfRule type="duplicateValues" dxfId="603" priority="604"/>
  </conditionalFormatting>
  <conditionalFormatting sqref="A1054">
    <cfRule type="duplicateValues" dxfId="602" priority="603" stopIfTrue="1"/>
  </conditionalFormatting>
  <conditionalFormatting sqref="A1054">
    <cfRule type="duplicateValues" dxfId="601" priority="600" stopIfTrue="1"/>
    <cfRule type="duplicateValues" dxfId="600" priority="601" stopIfTrue="1"/>
    <cfRule type="duplicateValues" dxfId="599" priority="602" stopIfTrue="1"/>
  </conditionalFormatting>
  <conditionalFormatting sqref="A1054">
    <cfRule type="duplicateValues" dxfId="598" priority="598" stopIfTrue="1"/>
    <cfRule type="duplicateValues" dxfId="597" priority="599" stopIfTrue="1"/>
  </conditionalFormatting>
  <conditionalFormatting sqref="A1054">
    <cfRule type="duplicateValues" dxfId="596" priority="595" stopIfTrue="1"/>
    <cfRule type="duplicateValues" dxfId="595" priority="596" stopIfTrue="1"/>
    <cfRule type="cellIs" dxfId="594" priority="597" stopIfTrue="1" operator="equal">
      <formula>25504</formula>
    </cfRule>
  </conditionalFormatting>
  <conditionalFormatting sqref="A1054">
    <cfRule type="duplicateValues" dxfId="593" priority="594"/>
  </conditionalFormatting>
  <conditionalFormatting sqref="A1054">
    <cfRule type="duplicateValues" dxfId="592" priority="593"/>
  </conditionalFormatting>
  <conditionalFormatting sqref="A1054">
    <cfRule type="duplicateValues" dxfId="591" priority="592"/>
  </conditionalFormatting>
  <conditionalFormatting sqref="A1054">
    <cfRule type="duplicateValues" dxfId="590" priority="591"/>
  </conditionalFormatting>
  <conditionalFormatting sqref="A1054">
    <cfRule type="duplicateValues" dxfId="589" priority="590"/>
  </conditionalFormatting>
  <conditionalFormatting sqref="A1054">
    <cfRule type="duplicateValues" dxfId="588" priority="587"/>
    <cfRule type="duplicateValues" dxfId="587" priority="588"/>
    <cfRule type="duplicateValues" dxfId="586" priority="589"/>
  </conditionalFormatting>
  <conditionalFormatting sqref="A1054">
    <cfRule type="duplicateValues" dxfId="585" priority="586"/>
  </conditionalFormatting>
  <conditionalFormatting sqref="A1054">
    <cfRule type="duplicateValues" dxfId="584" priority="585"/>
  </conditionalFormatting>
  <conditionalFormatting sqref="A1054">
    <cfRule type="duplicateValues" dxfId="583" priority="584"/>
  </conditionalFormatting>
  <conditionalFormatting sqref="A1054">
    <cfRule type="duplicateValues" dxfId="582" priority="583"/>
  </conditionalFormatting>
  <conditionalFormatting sqref="A1054">
    <cfRule type="duplicateValues" dxfId="581" priority="582"/>
  </conditionalFormatting>
  <conditionalFormatting sqref="A1054">
    <cfRule type="duplicateValues" dxfId="580" priority="581"/>
  </conditionalFormatting>
  <conditionalFormatting sqref="A1054">
    <cfRule type="duplicateValues" dxfId="579" priority="580"/>
  </conditionalFormatting>
  <conditionalFormatting sqref="A1054">
    <cfRule type="duplicateValues" dxfId="578" priority="579"/>
  </conditionalFormatting>
  <conditionalFormatting sqref="A1054">
    <cfRule type="duplicateValues" dxfId="577" priority="578"/>
  </conditionalFormatting>
  <conditionalFormatting sqref="A1054">
    <cfRule type="duplicateValues" dxfId="576" priority="577"/>
  </conditionalFormatting>
  <conditionalFormatting sqref="A1054">
    <cfRule type="duplicateValues" dxfId="575" priority="576"/>
  </conditionalFormatting>
  <conditionalFormatting sqref="A1054">
    <cfRule type="duplicateValues" dxfId="574" priority="575" stopIfTrue="1"/>
  </conditionalFormatting>
  <conditionalFormatting sqref="A1054">
    <cfRule type="duplicateValues" dxfId="573" priority="574" stopIfTrue="1"/>
  </conditionalFormatting>
  <conditionalFormatting sqref="A1054">
    <cfRule type="duplicateValues" dxfId="572" priority="573" stopIfTrue="1"/>
  </conditionalFormatting>
  <conditionalFormatting sqref="A1054">
    <cfRule type="duplicateValues" dxfId="571" priority="572" stopIfTrue="1"/>
  </conditionalFormatting>
  <conditionalFormatting sqref="A1054">
    <cfRule type="duplicateValues" dxfId="570" priority="571" stopIfTrue="1"/>
  </conditionalFormatting>
  <conditionalFormatting sqref="A1054">
    <cfRule type="duplicateValues" dxfId="569" priority="570" stopIfTrue="1"/>
  </conditionalFormatting>
  <conditionalFormatting sqref="A1054">
    <cfRule type="duplicateValues" dxfId="568" priority="567" stopIfTrue="1"/>
    <cfRule type="duplicateValues" dxfId="567" priority="568" stopIfTrue="1"/>
    <cfRule type="duplicateValues" dxfId="566" priority="569" stopIfTrue="1"/>
  </conditionalFormatting>
  <conditionalFormatting sqref="A1054">
    <cfRule type="duplicateValues" dxfId="565" priority="566" stopIfTrue="1"/>
  </conditionalFormatting>
  <conditionalFormatting sqref="A1054">
    <cfRule type="duplicateValues" dxfId="564" priority="565" stopIfTrue="1"/>
  </conditionalFormatting>
  <conditionalFormatting sqref="A1054">
    <cfRule type="duplicateValues" dxfId="563" priority="563" stopIfTrue="1"/>
    <cfRule type="duplicateValues" dxfId="562" priority="564" stopIfTrue="1"/>
  </conditionalFormatting>
  <conditionalFormatting sqref="A1054">
    <cfRule type="duplicateValues" dxfId="561" priority="560" stopIfTrue="1"/>
    <cfRule type="duplicateValues" dxfId="560" priority="561" stopIfTrue="1"/>
    <cfRule type="cellIs" dxfId="559" priority="562" stopIfTrue="1" operator="equal">
      <formula>25504</formula>
    </cfRule>
  </conditionalFormatting>
  <conditionalFormatting sqref="A1054">
    <cfRule type="duplicateValues" dxfId="558" priority="559" stopIfTrue="1"/>
  </conditionalFormatting>
  <conditionalFormatting sqref="A1054">
    <cfRule type="duplicateValues" dxfId="557" priority="557" stopIfTrue="1"/>
    <cfRule type="duplicateValues" dxfId="556" priority="558" stopIfTrue="1"/>
  </conditionalFormatting>
  <conditionalFormatting sqref="A1054">
    <cfRule type="duplicateValues" dxfId="555" priority="556" stopIfTrue="1"/>
  </conditionalFormatting>
  <conditionalFormatting sqref="A1054">
    <cfRule type="duplicateValues" dxfId="554" priority="555" stopIfTrue="1"/>
  </conditionalFormatting>
  <conditionalFormatting sqref="A1054">
    <cfRule type="duplicateValues" dxfId="553" priority="554" stopIfTrue="1"/>
  </conditionalFormatting>
  <conditionalFormatting sqref="A1054">
    <cfRule type="duplicateValues" dxfId="552" priority="551" stopIfTrue="1"/>
    <cfRule type="duplicateValues" dxfId="551" priority="552" stopIfTrue="1"/>
    <cfRule type="duplicateValues" dxfId="550" priority="553" stopIfTrue="1"/>
  </conditionalFormatting>
  <conditionalFormatting sqref="A1054">
    <cfRule type="duplicateValues" dxfId="549" priority="550" stopIfTrue="1"/>
  </conditionalFormatting>
  <conditionalFormatting sqref="A1054">
    <cfRule type="duplicateValues" dxfId="548" priority="549" stopIfTrue="1"/>
  </conditionalFormatting>
  <conditionalFormatting sqref="A1054">
    <cfRule type="duplicateValues" dxfId="547" priority="548" stopIfTrue="1"/>
  </conditionalFormatting>
  <conditionalFormatting sqref="A1054">
    <cfRule type="duplicateValues" dxfId="546" priority="547" stopIfTrue="1"/>
  </conditionalFormatting>
  <conditionalFormatting sqref="A1054">
    <cfRule type="duplicateValues" dxfId="545" priority="545" stopIfTrue="1"/>
    <cfRule type="duplicateValues" dxfId="544" priority="546" stopIfTrue="1"/>
  </conditionalFormatting>
  <conditionalFormatting sqref="A1054">
    <cfRule type="duplicateValues" dxfId="543" priority="544" stopIfTrue="1"/>
  </conditionalFormatting>
  <conditionalFormatting sqref="A1054">
    <cfRule type="duplicateValues" dxfId="542" priority="543" stopIfTrue="1"/>
  </conditionalFormatting>
  <conditionalFormatting sqref="A1054">
    <cfRule type="duplicateValues" dxfId="541" priority="542" stopIfTrue="1"/>
  </conditionalFormatting>
  <conditionalFormatting sqref="A1054">
    <cfRule type="duplicateValues" dxfId="540" priority="539" stopIfTrue="1"/>
    <cfRule type="duplicateValues" dxfId="539" priority="540" stopIfTrue="1"/>
    <cfRule type="duplicateValues" dxfId="538" priority="541" stopIfTrue="1"/>
  </conditionalFormatting>
  <conditionalFormatting sqref="A1054">
    <cfRule type="duplicateValues" dxfId="537" priority="538" stopIfTrue="1"/>
  </conditionalFormatting>
  <conditionalFormatting sqref="A1054">
    <cfRule type="duplicateValues" dxfId="536" priority="537" stopIfTrue="1"/>
  </conditionalFormatting>
  <conditionalFormatting sqref="A1054">
    <cfRule type="duplicateValues" dxfId="535" priority="535" stopIfTrue="1"/>
    <cfRule type="duplicateValues" dxfId="534" priority="536" stopIfTrue="1"/>
  </conditionalFormatting>
  <conditionalFormatting sqref="A1054">
    <cfRule type="duplicateValues" dxfId="533" priority="534" stopIfTrue="1"/>
  </conditionalFormatting>
  <conditionalFormatting sqref="A1054">
    <cfRule type="duplicateValues" dxfId="532" priority="533" stopIfTrue="1"/>
  </conditionalFormatting>
  <conditionalFormatting sqref="A1054">
    <cfRule type="duplicateValues" dxfId="531" priority="532" stopIfTrue="1"/>
  </conditionalFormatting>
  <conditionalFormatting sqref="A1054">
    <cfRule type="duplicateValues" dxfId="530" priority="529" stopIfTrue="1"/>
    <cfRule type="duplicateValues" dxfId="529" priority="530" stopIfTrue="1"/>
    <cfRule type="cellIs" dxfId="528" priority="531" stopIfTrue="1" operator="equal">
      <formula>25504</formula>
    </cfRule>
  </conditionalFormatting>
  <conditionalFormatting sqref="A1054">
    <cfRule type="duplicateValues" dxfId="527" priority="528" stopIfTrue="1"/>
  </conditionalFormatting>
  <conditionalFormatting sqref="A1054">
    <cfRule type="duplicateValues" dxfId="526" priority="525" stopIfTrue="1"/>
    <cfRule type="duplicateValues" dxfId="525" priority="526" stopIfTrue="1"/>
    <cfRule type="duplicateValues" dxfId="524" priority="527" stopIfTrue="1"/>
  </conditionalFormatting>
  <conditionalFormatting sqref="A1054">
    <cfRule type="duplicateValues" dxfId="523" priority="523" stopIfTrue="1"/>
    <cfRule type="duplicateValues" dxfId="522" priority="524" stopIfTrue="1"/>
  </conditionalFormatting>
  <conditionalFormatting sqref="A1054">
    <cfRule type="duplicateValues" dxfId="521" priority="520" stopIfTrue="1"/>
    <cfRule type="duplicateValues" dxfId="520" priority="521" stopIfTrue="1"/>
    <cfRule type="cellIs" dxfId="519" priority="522" stopIfTrue="1" operator="equal">
      <formula>25504</formula>
    </cfRule>
  </conditionalFormatting>
  <conditionalFormatting sqref="A1054">
    <cfRule type="duplicateValues" dxfId="518" priority="519" stopIfTrue="1"/>
  </conditionalFormatting>
  <conditionalFormatting sqref="A1054">
    <cfRule type="duplicateValues" dxfId="517" priority="516" stopIfTrue="1"/>
    <cfRule type="duplicateValues" dxfId="516" priority="517" stopIfTrue="1"/>
    <cfRule type="duplicateValues" dxfId="515" priority="518" stopIfTrue="1"/>
  </conditionalFormatting>
  <conditionalFormatting sqref="A1054">
    <cfRule type="duplicateValues" dxfId="514" priority="514" stopIfTrue="1"/>
    <cfRule type="duplicateValues" dxfId="513" priority="515" stopIfTrue="1"/>
  </conditionalFormatting>
  <conditionalFormatting sqref="A1054">
    <cfRule type="duplicateValues" dxfId="512" priority="511" stopIfTrue="1"/>
    <cfRule type="duplicateValues" dxfId="511" priority="512" stopIfTrue="1"/>
    <cfRule type="cellIs" dxfId="510" priority="513" stopIfTrue="1" operator="equal">
      <formula>25504</formula>
    </cfRule>
  </conditionalFormatting>
  <conditionalFormatting sqref="A1054">
    <cfRule type="duplicateValues" dxfId="509" priority="510" stopIfTrue="1"/>
  </conditionalFormatting>
  <conditionalFormatting sqref="A1054">
    <cfRule type="duplicateValues" dxfId="508" priority="507" stopIfTrue="1"/>
    <cfRule type="duplicateValues" dxfId="507" priority="508" stopIfTrue="1"/>
    <cfRule type="duplicateValues" dxfId="506" priority="509" stopIfTrue="1"/>
  </conditionalFormatting>
  <conditionalFormatting sqref="A1054">
    <cfRule type="duplicateValues" dxfId="505" priority="505" stopIfTrue="1"/>
    <cfRule type="duplicateValues" dxfId="504" priority="506" stopIfTrue="1"/>
  </conditionalFormatting>
  <conditionalFormatting sqref="A1054">
    <cfRule type="duplicateValues" dxfId="503" priority="502" stopIfTrue="1"/>
    <cfRule type="duplicateValues" dxfId="502" priority="503" stopIfTrue="1"/>
    <cfRule type="cellIs" dxfId="501" priority="504" stopIfTrue="1" operator="equal">
      <formula>25504</formula>
    </cfRule>
  </conditionalFormatting>
  <conditionalFormatting sqref="A1054">
    <cfRule type="duplicateValues" dxfId="500" priority="501" stopIfTrue="1"/>
  </conditionalFormatting>
  <conditionalFormatting sqref="A1054">
    <cfRule type="duplicateValues" dxfId="499" priority="498" stopIfTrue="1"/>
    <cfRule type="duplicateValues" dxfId="498" priority="499" stopIfTrue="1"/>
    <cfRule type="duplicateValues" dxfId="497" priority="500" stopIfTrue="1"/>
  </conditionalFormatting>
  <conditionalFormatting sqref="A1054">
    <cfRule type="duplicateValues" dxfId="496" priority="496" stopIfTrue="1"/>
    <cfRule type="duplicateValues" dxfId="495" priority="497" stopIfTrue="1"/>
  </conditionalFormatting>
  <conditionalFormatting sqref="A1054">
    <cfRule type="duplicateValues" dxfId="494" priority="495" stopIfTrue="1"/>
  </conditionalFormatting>
  <conditionalFormatting sqref="A1054">
    <cfRule type="duplicateValues" dxfId="493" priority="494"/>
  </conditionalFormatting>
  <conditionalFormatting sqref="A1054">
    <cfRule type="duplicateValues" dxfId="492" priority="491"/>
    <cfRule type="duplicateValues" dxfId="491" priority="492"/>
    <cfRule type="duplicateValues" dxfId="490" priority="493"/>
  </conditionalFormatting>
  <conditionalFormatting sqref="A1054">
    <cfRule type="duplicateValues" dxfId="489" priority="490"/>
  </conditionalFormatting>
  <conditionalFormatting sqref="A1054">
    <cfRule type="duplicateValues" dxfId="488" priority="489"/>
  </conditionalFormatting>
  <conditionalFormatting sqref="A1054">
    <cfRule type="duplicateValues" dxfId="487" priority="488"/>
  </conditionalFormatting>
  <conditionalFormatting sqref="A1054">
    <cfRule type="duplicateValues" dxfId="486" priority="487"/>
  </conditionalFormatting>
  <conditionalFormatting sqref="A1054">
    <cfRule type="duplicateValues" dxfId="485" priority="486"/>
  </conditionalFormatting>
  <conditionalFormatting sqref="A1054">
    <cfRule type="duplicateValues" dxfId="484" priority="485"/>
  </conditionalFormatting>
  <conditionalFormatting sqref="A1054">
    <cfRule type="duplicateValues" dxfId="483" priority="484" stopIfTrue="1"/>
  </conditionalFormatting>
  <conditionalFormatting sqref="A1054">
    <cfRule type="duplicateValues" dxfId="482" priority="481" stopIfTrue="1"/>
    <cfRule type="duplicateValues" dxfId="481" priority="482" stopIfTrue="1"/>
    <cfRule type="duplicateValues" dxfId="480" priority="483" stopIfTrue="1"/>
  </conditionalFormatting>
  <conditionalFormatting sqref="A1054">
    <cfRule type="duplicateValues" dxfId="479" priority="479" stopIfTrue="1"/>
    <cfRule type="duplicateValues" dxfId="478" priority="480" stopIfTrue="1"/>
  </conditionalFormatting>
  <conditionalFormatting sqref="A1054">
    <cfRule type="duplicateValues" dxfId="477" priority="476" stopIfTrue="1"/>
    <cfRule type="duplicateValues" dxfId="476" priority="477" stopIfTrue="1"/>
    <cfRule type="cellIs" dxfId="475" priority="478" stopIfTrue="1" operator="equal">
      <formula>25504</formula>
    </cfRule>
  </conditionalFormatting>
  <conditionalFormatting sqref="A1054">
    <cfRule type="duplicateValues" dxfId="474" priority="475"/>
  </conditionalFormatting>
  <conditionalFormatting sqref="A1054">
    <cfRule type="duplicateValues" dxfId="473" priority="474"/>
  </conditionalFormatting>
  <conditionalFormatting sqref="A1054">
    <cfRule type="duplicateValues" dxfId="472" priority="473"/>
  </conditionalFormatting>
  <conditionalFormatting sqref="A1054">
    <cfRule type="duplicateValues" dxfId="471" priority="472"/>
  </conditionalFormatting>
  <conditionalFormatting sqref="A1054">
    <cfRule type="duplicateValues" dxfId="470" priority="471"/>
  </conditionalFormatting>
  <conditionalFormatting sqref="A1054">
    <cfRule type="duplicateValues" dxfId="469" priority="470"/>
  </conditionalFormatting>
  <conditionalFormatting sqref="A1054">
    <cfRule type="duplicateValues" dxfId="468" priority="467"/>
    <cfRule type="duplicateValues" dxfId="467" priority="468"/>
    <cfRule type="duplicateValues" dxfId="466" priority="469"/>
  </conditionalFormatting>
  <conditionalFormatting sqref="A1054">
    <cfRule type="duplicateValues" dxfId="465" priority="466"/>
  </conditionalFormatting>
  <conditionalFormatting sqref="A1054">
    <cfRule type="duplicateValues" dxfId="464" priority="465"/>
  </conditionalFormatting>
  <conditionalFormatting sqref="A1054">
    <cfRule type="duplicateValues" dxfId="463" priority="464"/>
  </conditionalFormatting>
  <conditionalFormatting sqref="A1054">
    <cfRule type="duplicateValues" dxfId="462" priority="463"/>
  </conditionalFormatting>
  <conditionalFormatting sqref="A1054">
    <cfRule type="duplicateValues" dxfId="461" priority="462"/>
  </conditionalFormatting>
  <conditionalFormatting sqref="A1054">
    <cfRule type="duplicateValues" dxfId="460" priority="461"/>
  </conditionalFormatting>
  <conditionalFormatting sqref="A1054">
    <cfRule type="duplicateValues" dxfId="459" priority="460" stopIfTrue="1"/>
  </conditionalFormatting>
  <conditionalFormatting sqref="A1054">
    <cfRule type="duplicateValues" dxfId="458" priority="457" stopIfTrue="1"/>
    <cfRule type="duplicateValues" dxfId="457" priority="458" stopIfTrue="1"/>
    <cfRule type="duplicateValues" dxfId="456" priority="459" stopIfTrue="1"/>
  </conditionalFormatting>
  <conditionalFormatting sqref="A1054">
    <cfRule type="duplicateValues" dxfId="455" priority="455" stopIfTrue="1"/>
    <cfRule type="duplicateValues" dxfId="454" priority="456" stopIfTrue="1"/>
  </conditionalFormatting>
  <conditionalFormatting sqref="A1054">
    <cfRule type="duplicateValues" dxfId="453" priority="452" stopIfTrue="1"/>
    <cfRule type="duplicateValues" dxfId="452" priority="453" stopIfTrue="1"/>
    <cfRule type="cellIs" dxfId="451" priority="454" stopIfTrue="1" operator="equal">
      <formula>25504</formula>
    </cfRule>
  </conditionalFormatting>
  <conditionalFormatting sqref="A1054">
    <cfRule type="duplicateValues" dxfId="450" priority="451"/>
  </conditionalFormatting>
  <conditionalFormatting sqref="A1054">
    <cfRule type="duplicateValues" dxfId="449" priority="450"/>
  </conditionalFormatting>
  <conditionalFormatting sqref="A1054">
    <cfRule type="duplicateValues" dxfId="448" priority="449"/>
  </conditionalFormatting>
  <conditionalFormatting sqref="A1054">
    <cfRule type="duplicateValues" dxfId="447" priority="448"/>
  </conditionalFormatting>
  <conditionalFormatting sqref="A1054">
    <cfRule type="duplicateValues" dxfId="446" priority="447"/>
  </conditionalFormatting>
  <conditionalFormatting sqref="A1054">
    <cfRule type="duplicateValues" dxfId="445" priority="444"/>
    <cfRule type="duplicateValues" dxfId="444" priority="445"/>
    <cfRule type="duplicateValues" dxfId="443" priority="446"/>
  </conditionalFormatting>
  <conditionalFormatting sqref="A1054">
    <cfRule type="duplicateValues" dxfId="442" priority="443"/>
  </conditionalFormatting>
  <conditionalFormatting sqref="A1054">
    <cfRule type="duplicateValues" dxfId="441" priority="442"/>
  </conditionalFormatting>
  <conditionalFormatting sqref="A1054">
    <cfRule type="duplicateValues" dxfId="440" priority="441"/>
  </conditionalFormatting>
  <conditionalFormatting sqref="A1054">
    <cfRule type="duplicateValues" dxfId="439" priority="440"/>
  </conditionalFormatting>
  <conditionalFormatting sqref="A1054">
    <cfRule type="duplicateValues" dxfId="438" priority="439"/>
  </conditionalFormatting>
  <conditionalFormatting sqref="A1054">
    <cfRule type="duplicateValues" dxfId="437" priority="438"/>
  </conditionalFormatting>
  <conditionalFormatting sqref="A1054">
    <cfRule type="duplicateValues" dxfId="436" priority="437"/>
  </conditionalFormatting>
  <conditionalFormatting sqref="A1054">
    <cfRule type="duplicateValues" dxfId="435" priority="436"/>
  </conditionalFormatting>
  <conditionalFormatting sqref="A1054">
    <cfRule type="duplicateValues" dxfId="434" priority="435"/>
  </conditionalFormatting>
  <conditionalFormatting sqref="A1054">
    <cfRule type="duplicateValues" dxfId="433" priority="434"/>
  </conditionalFormatting>
  <conditionalFormatting sqref="A1054">
    <cfRule type="duplicateValues" dxfId="432" priority="433"/>
  </conditionalFormatting>
  <conditionalFormatting sqref="A1054">
    <cfRule type="duplicateValues" dxfId="431" priority="430" stopIfTrue="1"/>
    <cfRule type="duplicateValues" dxfId="430" priority="431" stopIfTrue="1"/>
    <cfRule type="cellIs" dxfId="429" priority="432" stopIfTrue="1" operator="equal">
      <formula>25504</formula>
    </cfRule>
  </conditionalFormatting>
  <conditionalFormatting sqref="A1054">
    <cfRule type="duplicateValues" dxfId="428" priority="429" stopIfTrue="1"/>
  </conditionalFormatting>
  <conditionalFormatting sqref="A1054">
    <cfRule type="duplicateValues" dxfId="427" priority="426" stopIfTrue="1"/>
    <cfRule type="duplicateValues" dxfId="426" priority="427" stopIfTrue="1"/>
    <cfRule type="duplicateValues" dxfId="425" priority="428" stopIfTrue="1"/>
  </conditionalFormatting>
  <conditionalFormatting sqref="A1054">
    <cfRule type="duplicateValues" dxfId="424" priority="424" stopIfTrue="1"/>
    <cfRule type="duplicateValues" dxfId="423" priority="425" stopIfTrue="1"/>
  </conditionalFormatting>
  <conditionalFormatting sqref="A1054">
    <cfRule type="duplicateValues" dxfId="422" priority="421" stopIfTrue="1"/>
    <cfRule type="duplicateValues" dxfId="421" priority="422" stopIfTrue="1"/>
    <cfRule type="cellIs" dxfId="420" priority="423" stopIfTrue="1" operator="equal">
      <formula>25504</formula>
    </cfRule>
  </conditionalFormatting>
  <conditionalFormatting sqref="A1054">
    <cfRule type="duplicateValues" dxfId="419" priority="420" stopIfTrue="1"/>
  </conditionalFormatting>
  <conditionalFormatting sqref="A1054">
    <cfRule type="duplicateValues" dxfId="418" priority="417" stopIfTrue="1"/>
    <cfRule type="duplicateValues" dxfId="417" priority="418" stopIfTrue="1"/>
    <cfRule type="duplicateValues" dxfId="416" priority="419" stopIfTrue="1"/>
  </conditionalFormatting>
  <conditionalFormatting sqref="A1054">
    <cfRule type="duplicateValues" dxfId="415" priority="415" stopIfTrue="1"/>
    <cfRule type="duplicateValues" dxfId="414" priority="416" stopIfTrue="1"/>
  </conditionalFormatting>
  <conditionalFormatting sqref="A1054">
    <cfRule type="duplicateValues" dxfId="413" priority="412" stopIfTrue="1"/>
    <cfRule type="duplicateValues" dxfId="412" priority="413" stopIfTrue="1"/>
    <cfRule type="cellIs" dxfId="411" priority="414" stopIfTrue="1" operator="equal">
      <formula>25504</formula>
    </cfRule>
  </conditionalFormatting>
  <conditionalFormatting sqref="A1054">
    <cfRule type="duplicateValues" dxfId="410" priority="411" stopIfTrue="1"/>
  </conditionalFormatting>
  <conditionalFormatting sqref="A1054">
    <cfRule type="duplicateValues" dxfId="409" priority="408" stopIfTrue="1"/>
    <cfRule type="duplicateValues" dxfId="408" priority="409" stopIfTrue="1"/>
    <cfRule type="duplicateValues" dxfId="407" priority="410" stopIfTrue="1"/>
  </conditionalFormatting>
  <conditionalFormatting sqref="A1054">
    <cfRule type="duplicateValues" dxfId="406" priority="406" stopIfTrue="1"/>
    <cfRule type="duplicateValues" dxfId="405" priority="407" stopIfTrue="1"/>
  </conditionalFormatting>
  <conditionalFormatting sqref="A1054">
    <cfRule type="duplicateValues" dxfId="404" priority="403" stopIfTrue="1"/>
    <cfRule type="duplicateValues" dxfId="403" priority="404" stopIfTrue="1"/>
    <cfRule type="cellIs" dxfId="402" priority="405" stopIfTrue="1" operator="equal">
      <formula>25504</formula>
    </cfRule>
  </conditionalFormatting>
  <conditionalFormatting sqref="A1054">
    <cfRule type="duplicateValues" dxfId="401" priority="402" stopIfTrue="1"/>
  </conditionalFormatting>
  <conditionalFormatting sqref="A1054">
    <cfRule type="duplicateValues" dxfId="400" priority="399" stopIfTrue="1"/>
    <cfRule type="duplicateValues" dxfId="399" priority="400" stopIfTrue="1"/>
    <cfRule type="duplicateValues" dxfId="398" priority="401" stopIfTrue="1"/>
  </conditionalFormatting>
  <conditionalFormatting sqref="A1054">
    <cfRule type="duplicateValues" dxfId="397" priority="397" stopIfTrue="1"/>
    <cfRule type="duplicateValues" dxfId="396" priority="398" stopIfTrue="1"/>
  </conditionalFormatting>
  <conditionalFormatting sqref="A1054">
    <cfRule type="duplicateValues" dxfId="395" priority="396" stopIfTrue="1"/>
  </conditionalFormatting>
  <conditionalFormatting sqref="A1054">
    <cfRule type="duplicateValues" dxfId="394" priority="395"/>
  </conditionalFormatting>
  <conditionalFormatting sqref="A1054">
    <cfRule type="duplicateValues" dxfId="393" priority="392"/>
    <cfRule type="duplicateValues" dxfId="392" priority="393"/>
    <cfRule type="duplicateValues" dxfId="391" priority="394"/>
  </conditionalFormatting>
  <conditionalFormatting sqref="A1054">
    <cfRule type="duplicateValues" dxfId="390" priority="391"/>
  </conditionalFormatting>
  <conditionalFormatting sqref="A1054">
    <cfRule type="duplicateValues" dxfId="389" priority="390"/>
  </conditionalFormatting>
  <conditionalFormatting sqref="A1054">
    <cfRule type="duplicateValues" dxfId="388" priority="389"/>
  </conditionalFormatting>
  <conditionalFormatting sqref="A1054">
    <cfRule type="duplicateValues" dxfId="387" priority="388"/>
  </conditionalFormatting>
  <conditionalFormatting sqref="A1054">
    <cfRule type="duplicateValues" dxfId="386" priority="387"/>
  </conditionalFormatting>
  <conditionalFormatting sqref="A1054">
    <cfRule type="duplicateValues" dxfId="385" priority="386"/>
  </conditionalFormatting>
  <conditionalFormatting sqref="A1054">
    <cfRule type="duplicateValues" dxfId="384" priority="385" stopIfTrue="1"/>
  </conditionalFormatting>
  <conditionalFormatting sqref="A1054">
    <cfRule type="duplicateValues" dxfId="383" priority="382" stopIfTrue="1"/>
    <cfRule type="duplicateValues" dxfId="382" priority="383" stopIfTrue="1"/>
    <cfRule type="duplicateValues" dxfId="381" priority="384" stopIfTrue="1"/>
  </conditionalFormatting>
  <conditionalFormatting sqref="A1054">
    <cfRule type="duplicateValues" dxfId="380" priority="380" stopIfTrue="1"/>
    <cfRule type="duplicateValues" dxfId="379" priority="381" stopIfTrue="1"/>
  </conditionalFormatting>
  <conditionalFormatting sqref="A1054">
    <cfRule type="duplicateValues" dxfId="378" priority="377" stopIfTrue="1"/>
    <cfRule type="duplicateValues" dxfId="377" priority="378" stopIfTrue="1"/>
    <cfRule type="cellIs" dxfId="376" priority="379" stopIfTrue="1" operator="equal">
      <formula>25504</formula>
    </cfRule>
  </conditionalFormatting>
  <conditionalFormatting sqref="A1054">
    <cfRule type="duplicateValues" dxfId="375" priority="376"/>
  </conditionalFormatting>
  <conditionalFormatting sqref="A1054">
    <cfRule type="duplicateValues" dxfId="374" priority="375"/>
  </conditionalFormatting>
  <conditionalFormatting sqref="A1054">
    <cfRule type="duplicateValues" dxfId="373" priority="374"/>
  </conditionalFormatting>
  <conditionalFormatting sqref="A1054">
    <cfRule type="duplicateValues" dxfId="372" priority="373"/>
  </conditionalFormatting>
  <conditionalFormatting sqref="A1054">
    <cfRule type="duplicateValues" dxfId="371" priority="372"/>
  </conditionalFormatting>
  <conditionalFormatting sqref="A1054">
    <cfRule type="duplicateValues" dxfId="370" priority="371"/>
  </conditionalFormatting>
  <conditionalFormatting sqref="A1054">
    <cfRule type="duplicateValues" dxfId="369" priority="368"/>
    <cfRule type="duplicateValues" dxfId="368" priority="369"/>
    <cfRule type="duplicateValues" dxfId="367" priority="370"/>
  </conditionalFormatting>
  <conditionalFormatting sqref="A1054">
    <cfRule type="duplicateValues" dxfId="366" priority="367"/>
  </conditionalFormatting>
  <conditionalFormatting sqref="A1054">
    <cfRule type="duplicateValues" dxfId="365" priority="366"/>
  </conditionalFormatting>
  <conditionalFormatting sqref="A1054">
    <cfRule type="duplicateValues" dxfId="364" priority="365"/>
  </conditionalFormatting>
  <conditionalFormatting sqref="A1054">
    <cfRule type="duplicateValues" dxfId="363" priority="364"/>
  </conditionalFormatting>
  <conditionalFormatting sqref="A1054">
    <cfRule type="duplicateValues" dxfId="362" priority="363"/>
  </conditionalFormatting>
  <conditionalFormatting sqref="A1054">
    <cfRule type="duplicateValues" dxfId="361" priority="362"/>
  </conditionalFormatting>
  <conditionalFormatting sqref="A1054">
    <cfRule type="duplicateValues" dxfId="360" priority="361" stopIfTrue="1"/>
  </conditionalFormatting>
  <conditionalFormatting sqref="A1054">
    <cfRule type="duplicateValues" dxfId="359" priority="358" stopIfTrue="1"/>
    <cfRule type="duplicateValues" dxfId="358" priority="359" stopIfTrue="1"/>
    <cfRule type="duplicateValues" dxfId="357" priority="360" stopIfTrue="1"/>
  </conditionalFormatting>
  <conditionalFormatting sqref="A1054">
    <cfRule type="duplicateValues" dxfId="356" priority="356" stopIfTrue="1"/>
    <cfRule type="duplicateValues" dxfId="355" priority="357" stopIfTrue="1"/>
  </conditionalFormatting>
  <conditionalFormatting sqref="A1054">
    <cfRule type="duplicateValues" dxfId="354" priority="353" stopIfTrue="1"/>
    <cfRule type="duplicateValues" dxfId="353" priority="354" stopIfTrue="1"/>
    <cfRule type="cellIs" dxfId="352" priority="355" stopIfTrue="1" operator="equal">
      <formula>25504</formula>
    </cfRule>
  </conditionalFormatting>
  <conditionalFormatting sqref="A1054">
    <cfRule type="duplicateValues" dxfId="351" priority="352"/>
  </conditionalFormatting>
  <conditionalFormatting sqref="A1054">
    <cfRule type="duplicateValues" dxfId="350" priority="351"/>
  </conditionalFormatting>
  <conditionalFormatting sqref="A1054">
    <cfRule type="duplicateValues" dxfId="349" priority="350"/>
  </conditionalFormatting>
  <conditionalFormatting sqref="A1054">
    <cfRule type="duplicateValues" dxfId="348" priority="349"/>
  </conditionalFormatting>
  <conditionalFormatting sqref="A1054">
    <cfRule type="duplicateValues" dxfId="347" priority="348"/>
  </conditionalFormatting>
  <conditionalFormatting sqref="A1054">
    <cfRule type="duplicateValues" dxfId="346" priority="345"/>
    <cfRule type="duplicateValues" dxfId="345" priority="346"/>
    <cfRule type="duplicateValues" dxfId="344" priority="347"/>
  </conditionalFormatting>
  <conditionalFormatting sqref="A1054">
    <cfRule type="duplicateValues" dxfId="343" priority="344"/>
  </conditionalFormatting>
  <conditionalFormatting sqref="A1054">
    <cfRule type="duplicateValues" dxfId="342" priority="343"/>
  </conditionalFormatting>
  <conditionalFormatting sqref="A1054">
    <cfRule type="duplicateValues" dxfId="341" priority="342"/>
  </conditionalFormatting>
  <conditionalFormatting sqref="A1054">
    <cfRule type="duplicateValues" dxfId="340" priority="341"/>
  </conditionalFormatting>
  <conditionalFormatting sqref="A1054">
    <cfRule type="duplicateValues" dxfId="339" priority="340"/>
  </conditionalFormatting>
  <conditionalFormatting sqref="A1054">
    <cfRule type="duplicateValues" dxfId="338" priority="339"/>
  </conditionalFormatting>
  <conditionalFormatting sqref="A1054">
    <cfRule type="duplicateValues" dxfId="337" priority="338"/>
  </conditionalFormatting>
  <conditionalFormatting sqref="A1054">
    <cfRule type="duplicateValues" dxfId="336" priority="337"/>
  </conditionalFormatting>
  <conditionalFormatting sqref="A1054">
    <cfRule type="duplicateValues" dxfId="335" priority="336"/>
  </conditionalFormatting>
  <conditionalFormatting sqref="A1054">
    <cfRule type="duplicateValues" dxfId="334" priority="335"/>
  </conditionalFormatting>
  <conditionalFormatting sqref="A1054">
    <cfRule type="duplicateValues" dxfId="333" priority="334"/>
  </conditionalFormatting>
  <conditionalFormatting sqref="A1054">
    <cfRule type="duplicateValues" dxfId="332" priority="331" stopIfTrue="1"/>
    <cfRule type="duplicateValues" dxfId="331" priority="332" stopIfTrue="1"/>
    <cfRule type="cellIs" dxfId="330" priority="333" stopIfTrue="1" operator="equal">
      <formula>25504</formula>
    </cfRule>
  </conditionalFormatting>
  <conditionalFormatting sqref="A1054">
    <cfRule type="duplicateValues" dxfId="329" priority="330" stopIfTrue="1"/>
  </conditionalFormatting>
  <conditionalFormatting sqref="A1054">
    <cfRule type="duplicateValues" dxfId="328" priority="327" stopIfTrue="1"/>
    <cfRule type="duplicateValues" dxfId="327" priority="328" stopIfTrue="1"/>
    <cfRule type="duplicateValues" dxfId="326" priority="329" stopIfTrue="1"/>
  </conditionalFormatting>
  <conditionalFormatting sqref="A1054">
    <cfRule type="duplicateValues" dxfId="325" priority="325" stopIfTrue="1"/>
    <cfRule type="duplicateValues" dxfId="324" priority="326" stopIfTrue="1"/>
  </conditionalFormatting>
  <conditionalFormatting sqref="A1054">
    <cfRule type="duplicateValues" dxfId="323" priority="322" stopIfTrue="1"/>
    <cfRule type="duplicateValues" dxfId="322" priority="323" stopIfTrue="1"/>
    <cfRule type="cellIs" dxfId="321" priority="324" stopIfTrue="1" operator="equal">
      <formula>25504</formula>
    </cfRule>
  </conditionalFormatting>
  <conditionalFormatting sqref="A1054">
    <cfRule type="duplicateValues" dxfId="320" priority="321" stopIfTrue="1"/>
  </conditionalFormatting>
  <conditionalFormatting sqref="A1054">
    <cfRule type="duplicateValues" dxfId="319" priority="318" stopIfTrue="1"/>
    <cfRule type="duplicateValues" dxfId="318" priority="319" stopIfTrue="1"/>
    <cfRule type="duplicateValues" dxfId="317" priority="320" stopIfTrue="1"/>
  </conditionalFormatting>
  <conditionalFormatting sqref="A1054">
    <cfRule type="duplicateValues" dxfId="316" priority="316" stopIfTrue="1"/>
    <cfRule type="duplicateValues" dxfId="315" priority="317" stopIfTrue="1"/>
  </conditionalFormatting>
  <conditionalFormatting sqref="A1054">
    <cfRule type="duplicateValues" dxfId="314" priority="313" stopIfTrue="1"/>
    <cfRule type="duplicateValues" dxfId="313" priority="314" stopIfTrue="1"/>
    <cfRule type="cellIs" dxfId="312" priority="315" stopIfTrue="1" operator="equal">
      <formula>25504</formula>
    </cfRule>
  </conditionalFormatting>
  <conditionalFormatting sqref="A1054">
    <cfRule type="duplicateValues" dxfId="311" priority="312" stopIfTrue="1"/>
  </conditionalFormatting>
  <conditionalFormatting sqref="A1054">
    <cfRule type="duplicateValues" dxfId="310" priority="309" stopIfTrue="1"/>
    <cfRule type="duplicateValues" dxfId="309" priority="310" stopIfTrue="1"/>
    <cfRule type="duplicateValues" dxfId="308" priority="311" stopIfTrue="1"/>
  </conditionalFormatting>
  <conditionalFormatting sqref="A1054">
    <cfRule type="duplicateValues" dxfId="307" priority="307" stopIfTrue="1"/>
    <cfRule type="duplicateValues" dxfId="306" priority="308" stopIfTrue="1"/>
  </conditionalFormatting>
  <conditionalFormatting sqref="A1054">
    <cfRule type="duplicateValues" dxfId="305" priority="304" stopIfTrue="1"/>
    <cfRule type="duplicateValues" dxfId="304" priority="305" stopIfTrue="1"/>
    <cfRule type="cellIs" dxfId="303" priority="306" stopIfTrue="1" operator="equal">
      <formula>25504</formula>
    </cfRule>
  </conditionalFormatting>
  <conditionalFormatting sqref="A1054">
    <cfRule type="duplicateValues" dxfId="302" priority="303" stopIfTrue="1"/>
  </conditionalFormatting>
  <conditionalFormatting sqref="A1054">
    <cfRule type="duplicateValues" dxfId="301" priority="300" stopIfTrue="1"/>
    <cfRule type="duplicateValues" dxfId="300" priority="301" stopIfTrue="1"/>
    <cfRule type="duplicateValues" dxfId="299" priority="302" stopIfTrue="1"/>
  </conditionalFormatting>
  <conditionalFormatting sqref="A1054">
    <cfRule type="duplicateValues" dxfId="298" priority="298" stopIfTrue="1"/>
    <cfRule type="duplicateValues" dxfId="297" priority="299" stopIfTrue="1"/>
  </conditionalFormatting>
  <conditionalFormatting sqref="A1054">
    <cfRule type="duplicateValues" dxfId="296" priority="295" stopIfTrue="1"/>
    <cfRule type="duplicateValues" dxfId="295" priority="296" stopIfTrue="1"/>
    <cfRule type="cellIs" dxfId="294" priority="297" stopIfTrue="1" operator="equal">
      <formula>25504</formula>
    </cfRule>
  </conditionalFormatting>
  <conditionalFormatting sqref="A1054">
    <cfRule type="duplicateValues" dxfId="293" priority="294" stopIfTrue="1"/>
  </conditionalFormatting>
  <conditionalFormatting sqref="A1054">
    <cfRule type="duplicateValues" dxfId="292" priority="291" stopIfTrue="1"/>
    <cfRule type="duplicateValues" dxfId="291" priority="292" stopIfTrue="1"/>
    <cfRule type="duplicateValues" dxfId="290" priority="293" stopIfTrue="1"/>
  </conditionalFormatting>
  <conditionalFormatting sqref="A1054">
    <cfRule type="duplicateValues" dxfId="289" priority="289" stopIfTrue="1"/>
    <cfRule type="duplicateValues" dxfId="288" priority="290" stopIfTrue="1"/>
  </conditionalFormatting>
  <conditionalFormatting sqref="A1054">
    <cfRule type="duplicateValues" dxfId="287" priority="286" stopIfTrue="1"/>
    <cfRule type="duplicateValues" dxfId="286" priority="287" stopIfTrue="1"/>
    <cfRule type="cellIs" dxfId="285" priority="288" stopIfTrue="1" operator="equal">
      <formula>25504</formula>
    </cfRule>
  </conditionalFormatting>
  <conditionalFormatting sqref="A1054">
    <cfRule type="duplicateValues" dxfId="284" priority="285" stopIfTrue="1"/>
  </conditionalFormatting>
  <conditionalFormatting sqref="A1054">
    <cfRule type="duplicateValues" dxfId="283" priority="282" stopIfTrue="1"/>
    <cfRule type="duplicateValues" dxfId="282" priority="283" stopIfTrue="1"/>
    <cfRule type="duplicateValues" dxfId="281" priority="284" stopIfTrue="1"/>
  </conditionalFormatting>
  <conditionalFormatting sqref="A1054">
    <cfRule type="duplicateValues" dxfId="280" priority="280" stopIfTrue="1"/>
    <cfRule type="duplicateValues" dxfId="279" priority="281" stopIfTrue="1"/>
  </conditionalFormatting>
  <conditionalFormatting sqref="A1054">
    <cfRule type="duplicateValues" dxfId="278" priority="279" stopIfTrue="1"/>
  </conditionalFormatting>
  <conditionalFormatting sqref="A1054">
    <cfRule type="duplicateValues" dxfId="277" priority="278"/>
  </conditionalFormatting>
  <conditionalFormatting sqref="A1054">
    <cfRule type="duplicateValues" dxfId="276" priority="276"/>
    <cfRule type="duplicateValues" dxfId="275" priority="277"/>
  </conditionalFormatting>
  <conditionalFormatting sqref="A1054">
    <cfRule type="duplicateValues" dxfId="274" priority="275" stopIfTrue="1"/>
  </conditionalFormatting>
  <conditionalFormatting sqref="A1054">
    <cfRule type="duplicateValues" dxfId="273" priority="272" stopIfTrue="1"/>
    <cfRule type="duplicateValues" dxfId="272" priority="273" stopIfTrue="1"/>
    <cfRule type="duplicateValues" dxfId="271" priority="274" stopIfTrue="1"/>
  </conditionalFormatting>
  <conditionalFormatting sqref="A1054">
    <cfRule type="duplicateValues" dxfId="270" priority="269" stopIfTrue="1"/>
    <cfRule type="duplicateValues" dxfId="269" priority="270" stopIfTrue="1"/>
    <cfRule type="cellIs" dxfId="268" priority="271" stopIfTrue="1" operator="equal">
      <formula>25504</formula>
    </cfRule>
  </conditionalFormatting>
  <conditionalFormatting sqref="A1054">
    <cfRule type="duplicateValues" dxfId="267" priority="268"/>
  </conditionalFormatting>
  <conditionalFormatting sqref="A1054">
    <cfRule type="duplicateValues" dxfId="266" priority="265"/>
    <cfRule type="duplicateValues" dxfId="265" priority="266"/>
    <cfRule type="duplicateValues" dxfId="264" priority="267"/>
  </conditionalFormatting>
  <conditionalFormatting sqref="A1054">
    <cfRule type="duplicateValues" dxfId="263" priority="264" stopIfTrue="1"/>
  </conditionalFormatting>
  <conditionalFormatting sqref="A1054">
    <cfRule type="duplicateValues" dxfId="262" priority="263" stopIfTrue="1"/>
  </conditionalFormatting>
  <conditionalFormatting sqref="A1054">
    <cfRule type="duplicateValues" dxfId="261" priority="260" stopIfTrue="1"/>
    <cfRule type="duplicateValues" dxfId="260" priority="261" stopIfTrue="1"/>
    <cfRule type="duplicateValues" dxfId="259" priority="262" stopIfTrue="1"/>
  </conditionalFormatting>
  <conditionalFormatting sqref="A1054">
    <cfRule type="duplicateValues" dxfId="258" priority="258" stopIfTrue="1"/>
    <cfRule type="duplicateValues" dxfId="257" priority="259" stopIfTrue="1"/>
  </conditionalFormatting>
  <conditionalFormatting sqref="A1054">
    <cfRule type="duplicateValues" dxfId="256" priority="255" stopIfTrue="1"/>
    <cfRule type="duplicateValues" dxfId="255" priority="256" stopIfTrue="1"/>
    <cfRule type="cellIs" dxfId="254" priority="257" stopIfTrue="1" operator="equal">
      <formula>25504</formula>
    </cfRule>
  </conditionalFormatting>
  <conditionalFormatting sqref="A1054">
    <cfRule type="duplicateValues" dxfId="253" priority="254"/>
  </conditionalFormatting>
  <conditionalFormatting sqref="A1054">
    <cfRule type="duplicateValues" dxfId="252" priority="252"/>
    <cfRule type="duplicateValues" dxfId="251" priority="253"/>
  </conditionalFormatting>
  <conditionalFormatting sqref="A1054">
    <cfRule type="duplicateValues" dxfId="250" priority="249"/>
    <cfRule type="duplicateValues" dxfId="249" priority="250"/>
    <cfRule type="duplicateValues" dxfId="248" priority="251"/>
  </conditionalFormatting>
  <conditionalFormatting sqref="A1054">
    <cfRule type="duplicateValues" dxfId="247" priority="248" stopIfTrue="1"/>
  </conditionalFormatting>
  <conditionalFormatting sqref="A1054">
    <cfRule type="duplicateValues" dxfId="246" priority="245" stopIfTrue="1"/>
    <cfRule type="duplicateValues" dxfId="245" priority="246" stopIfTrue="1"/>
    <cfRule type="cellIs" dxfId="244" priority="247" stopIfTrue="1" operator="equal">
      <formula>25504</formula>
    </cfRule>
  </conditionalFormatting>
  <conditionalFormatting sqref="A1054:A1055">
    <cfRule type="duplicateValues" dxfId="243" priority="244"/>
  </conditionalFormatting>
  <conditionalFormatting sqref="A1054:A1055">
    <cfRule type="duplicateValues" dxfId="242" priority="243"/>
  </conditionalFormatting>
  <conditionalFormatting sqref="A1054:A1055">
    <cfRule type="duplicateValues" dxfId="241" priority="242"/>
  </conditionalFormatting>
  <conditionalFormatting sqref="A1054:A1055">
    <cfRule type="duplicateValues" dxfId="240" priority="241"/>
  </conditionalFormatting>
  <conditionalFormatting sqref="A1054:A1055">
    <cfRule type="duplicateValues" dxfId="239" priority="240"/>
  </conditionalFormatting>
  <conditionalFormatting sqref="A1054:A1055">
    <cfRule type="duplicateValues" dxfId="238" priority="238"/>
    <cfRule type="duplicateValues" dxfId="237" priority="239"/>
  </conditionalFormatting>
  <conditionalFormatting sqref="A1054:A1055">
    <cfRule type="duplicateValues" dxfId="236" priority="237"/>
  </conditionalFormatting>
  <conditionalFormatting sqref="A1054:A1055">
    <cfRule type="duplicateValues" dxfId="235" priority="236"/>
  </conditionalFormatting>
  <conditionalFormatting sqref="A1054:A1055">
    <cfRule type="duplicateValues" dxfId="234" priority="233"/>
    <cfRule type="duplicateValues" dxfId="233" priority="234"/>
    <cfRule type="duplicateValues" dxfId="232" priority="235"/>
  </conditionalFormatting>
  <conditionalFormatting sqref="A1054:A1055">
    <cfRule type="duplicateValues" dxfId="231" priority="232"/>
  </conditionalFormatting>
  <conditionalFormatting sqref="A1054:A1055">
    <cfRule type="duplicateValues" dxfId="230" priority="231"/>
  </conditionalFormatting>
  <conditionalFormatting sqref="A1054:A1055">
    <cfRule type="duplicateValues" dxfId="229" priority="230"/>
  </conditionalFormatting>
  <conditionalFormatting sqref="A1054:A1055">
    <cfRule type="duplicateValues" dxfId="228" priority="229"/>
  </conditionalFormatting>
  <conditionalFormatting sqref="A1054:A1055">
    <cfRule type="duplicateValues" dxfId="227" priority="228"/>
  </conditionalFormatting>
  <conditionalFormatting sqref="A1054:A1055">
    <cfRule type="duplicateValues" dxfId="226" priority="227"/>
  </conditionalFormatting>
  <conditionalFormatting sqref="A1054:A1055">
    <cfRule type="duplicateValues" dxfId="225" priority="226"/>
  </conditionalFormatting>
  <conditionalFormatting sqref="A1054:A1055">
    <cfRule type="duplicateValues" dxfId="224" priority="225"/>
  </conditionalFormatting>
  <conditionalFormatting sqref="A1054:A1055">
    <cfRule type="duplicateValues" dxfId="223" priority="224"/>
  </conditionalFormatting>
  <conditionalFormatting sqref="A1054:A1055">
    <cfRule type="duplicateValues" dxfId="222" priority="223"/>
  </conditionalFormatting>
  <conditionalFormatting sqref="A1054:A1055">
    <cfRule type="duplicateValues" dxfId="221" priority="222"/>
  </conditionalFormatting>
  <conditionalFormatting sqref="A1054:A1055">
    <cfRule type="duplicateValues" dxfId="220" priority="221"/>
  </conditionalFormatting>
  <conditionalFormatting sqref="A1054:A1055">
    <cfRule type="duplicateValues" dxfId="219" priority="220"/>
  </conditionalFormatting>
  <conditionalFormatting sqref="A1054:A1055">
    <cfRule type="duplicateValues" dxfId="218" priority="219"/>
  </conditionalFormatting>
  <conditionalFormatting sqref="A1054:A1055">
    <cfRule type="duplicateValues" dxfId="217" priority="218"/>
  </conditionalFormatting>
  <conditionalFormatting sqref="A1054:A1055">
    <cfRule type="duplicateValues" dxfId="216" priority="216"/>
    <cfRule type="duplicateValues" dxfId="215" priority="217"/>
  </conditionalFormatting>
  <conditionalFormatting sqref="A1054:A1055">
    <cfRule type="duplicateValues" dxfId="214" priority="215"/>
  </conditionalFormatting>
  <conditionalFormatting sqref="A1054:A1055">
    <cfRule type="duplicateValues" dxfId="213" priority="214"/>
  </conditionalFormatting>
  <conditionalFormatting sqref="A1054:A1055">
    <cfRule type="duplicateValues" dxfId="212" priority="213"/>
  </conditionalFormatting>
  <conditionalFormatting sqref="A1054:A1055">
    <cfRule type="duplicateValues" dxfId="211" priority="211"/>
    <cfRule type="duplicateValues" dxfId="210" priority="212"/>
  </conditionalFormatting>
  <conditionalFormatting sqref="A1054:A1055">
    <cfRule type="duplicateValues" dxfId="209" priority="210"/>
  </conditionalFormatting>
  <conditionalFormatting sqref="A1054:A1055">
    <cfRule type="duplicateValues" dxfId="208" priority="209"/>
  </conditionalFormatting>
  <conditionalFormatting sqref="A1054:A1055">
    <cfRule type="duplicateValues" dxfId="207" priority="207"/>
    <cfRule type="duplicateValues" dxfId="206" priority="208"/>
  </conditionalFormatting>
  <conditionalFormatting sqref="A1054:A1055">
    <cfRule type="duplicateValues" dxfId="205" priority="206" stopIfTrue="1"/>
  </conditionalFormatting>
  <conditionalFormatting sqref="A1054:A1055">
    <cfRule type="duplicateValues" dxfId="204" priority="205" stopIfTrue="1"/>
  </conditionalFormatting>
  <conditionalFormatting sqref="A1054:A1055">
    <cfRule type="duplicateValues" dxfId="203" priority="204" stopIfTrue="1"/>
  </conditionalFormatting>
  <conditionalFormatting sqref="A1054:A1055">
    <cfRule type="duplicateValues" dxfId="202" priority="203" stopIfTrue="1"/>
  </conditionalFormatting>
  <conditionalFormatting sqref="A1054:A1055">
    <cfRule type="duplicateValues" dxfId="201" priority="202" stopIfTrue="1"/>
  </conditionalFormatting>
  <conditionalFormatting sqref="A1054:A1055">
    <cfRule type="duplicateValues" dxfId="200" priority="201" stopIfTrue="1"/>
  </conditionalFormatting>
  <conditionalFormatting sqref="A1054:A1055">
    <cfRule type="duplicateValues" dxfId="199" priority="198" stopIfTrue="1"/>
    <cfRule type="duplicateValues" dxfId="198" priority="199" stopIfTrue="1"/>
    <cfRule type="duplicateValues" dxfId="197" priority="200" stopIfTrue="1"/>
  </conditionalFormatting>
  <conditionalFormatting sqref="A1054:A1055">
    <cfRule type="duplicateValues" dxfId="196" priority="197" stopIfTrue="1"/>
  </conditionalFormatting>
  <conditionalFormatting sqref="A1054:A1055">
    <cfRule type="duplicateValues" dxfId="195" priority="196" stopIfTrue="1"/>
  </conditionalFormatting>
  <conditionalFormatting sqref="A1054:A1055">
    <cfRule type="duplicateValues" dxfId="194" priority="194" stopIfTrue="1"/>
    <cfRule type="duplicateValues" dxfId="193" priority="195" stopIfTrue="1"/>
  </conditionalFormatting>
  <conditionalFormatting sqref="A1054:A1055">
    <cfRule type="duplicateValues" dxfId="192" priority="191" stopIfTrue="1"/>
    <cfRule type="duplicateValues" dxfId="191" priority="192" stopIfTrue="1"/>
    <cfRule type="cellIs" dxfId="190" priority="193" stopIfTrue="1" operator="equal">
      <formula>25504</formula>
    </cfRule>
  </conditionalFormatting>
  <conditionalFormatting sqref="A1054:A1055">
    <cfRule type="duplicateValues" dxfId="189" priority="190" stopIfTrue="1"/>
  </conditionalFormatting>
  <conditionalFormatting sqref="A1054:A1055">
    <cfRule type="duplicateValues" dxfId="188" priority="188" stopIfTrue="1"/>
    <cfRule type="duplicateValues" dxfId="187" priority="189" stopIfTrue="1"/>
  </conditionalFormatting>
  <conditionalFormatting sqref="A1054:A1055">
    <cfRule type="duplicateValues" dxfId="186" priority="187" stopIfTrue="1"/>
  </conditionalFormatting>
  <conditionalFormatting sqref="A1054:A1055">
    <cfRule type="duplicateValues" dxfId="185" priority="186" stopIfTrue="1"/>
  </conditionalFormatting>
  <conditionalFormatting sqref="A1054:A1055">
    <cfRule type="duplicateValues" dxfId="184" priority="185" stopIfTrue="1"/>
  </conditionalFormatting>
  <conditionalFormatting sqref="A1054:A1055">
    <cfRule type="duplicateValues" dxfId="183" priority="182" stopIfTrue="1"/>
    <cfRule type="duplicateValues" dxfId="182" priority="183" stopIfTrue="1"/>
    <cfRule type="duplicateValues" dxfId="181" priority="184" stopIfTrue="1"/>
  </conditionalFormatting>
  <conditionalFormatting sqref="A1054:A1055">
    <cfRule type="duplicateValues" dxfId="180" priority="181" stopIfTrue="1"/>
  </conditionalFormatting>
  <conditionalFormatting sqref="A1054:A1055">
    <cfRule type="duplicateValues" dxfId="179" priority="180" stopIfTrue="1"/>
  </conditionalFormatting>
  <conditionalFormatting sqref="A1054:A1055">
    <cfRule type="duplicateValues" dxfId="178" priority="179" stopIfTrue="1"/>
  </conditionalFormatting>
  <conditionalFormatting sqref="A1054:A1055">
    <cfRule type="duplicateValues" dxfId="177" priority="178" stopIfTrue="1"/>
  </conditionalFormatting>
  <conditionalFormatting sqref="A1054:A1055">
    <cfRule type="duplicateValues" dxfId="176" priority="176" stopIfTrue="1"/>
    <cfRule type="duplicateValues" dxfId="175" priority="177" stopIfTrue="1"/>
  </conditionalFormatting>
  <conditionalFormatting sqref="A1054:A1055">
    <cfRule type="duplicateValues" dxfId="174" priority="175" stopIfTrue="1"/>
  </conditionalFormatting>
  <conditionalFormatting sqref="A1054:A1055">
    <cfRule type="duplicateValues" dxfId="173" priority="174" stopIfTrue="1"/>
  </conditionalFormatting>
  <conditionalFormatting sqref="A1054:A1055">
    <cfRule type="duplicateValues" dxfId="172" priority="173" stopIfTrue="1"/>
  </conditionalFormatting>
  <conditionalFormatting sqref="A1054:A1055">
    <cfRule type="duplicateValues" dxfId="171" priority="170" stopIfTrue="1"/>
    <cfRule type="duplicateValues" dxfId="170" priority="171" stopIfTrue="1"/>
    <cfRule type="duplicateValues" dxfId="169" priority="172" stopIfTrue="1"/>
  </conditionalFormatting>
  <conditionalFormatting sqref="A1054:A1055">
    <cfRule type="duplicateValues" dxfId="168" priority="169" stopIfTrue="1"/>
  </conditionalFormatting>
  <conditionalFormatting sqref="A1054:A1055">
    <cfRule type="duplicateValues" dxfId="167" priority="168" stopIfTrue="1"/>
  </conditionalFormatting>
  <conditionalFormatting sqref="A1054:A1055">
    <cfRule type="duplicateValues" dxfId="166" priority="166" stopIfTrue="1"/>
    <cfRule type="duplicateValues" dxfId="165" priority="167" stopIfTrue="1"/>
  </conditionalFormatting>
  <conditionalFormatting sqref="A1054:A1055">
    <cfRule type="duplicateValues" dxfId="164" priority="165" stopIfTrue="1"/>
  </conditionalFormatting>
  <conditionalFormatting sqref="A1054:A1055">
    <cfRule type="duplicateValues" dxfId="163" priority="164" stopIfTrue="1"/>
  </conditionalFormatting>
  <conditionalFormatting sqref="A1054:A1055">
    <cfRule type="duplicateValues" dxfId="162" priority="163" stopIfTrue="1"/>
  </conditionalFormatting>
  <conditionalFormatting sqref="A1054:A1055">
    <cfRule type="duplicateValues" dxfId="161" priority="162"/>
  </conditionalFormatting>
  <conditionalFormatting sqref="A1054:A1055">
    <cfRule type="duplicateValues" dxfId="160" priority="160"/>
    <cfRule type="duplicateValues" dxfId="159" priority="161"/>
  </conditionalFormatting>
  <conditionalFormatting sqref="A1054:A1055">
    <cfRule type="duplicateValues" dxfId="158" priority="157"/>
    <cfRule type="duplicateValues" dxfId="157" priority="158"/>
    <cfRule type="duplicateValues" dxfId="156" priority="159"/>
  </conditionalFormatting>
  <conditionalFormatting sqref="A1054:A1055">
    <cfRule type="duplicateValues" dxfId="155" priority="156" stopIfTrue="1"/>
  </conditionalFormatting>
  <conditionalFormatting sqref="A1054:A1055">
    <cfRule type="duplicateValues" dxfId="154" priority="153" stopIfTrue="1"/>
    <cfRule type="duplicateValues" dxfId="153" priority="154" stopIfTrue="1"/>
    <cfRule type="cellIs" dxfId="152" priority="155" stopIfTrue="1" operator="equal">
      <formula>25504</formula>
    </cfRule>
  </conditionalFormatting>
  <conditionalFormatting sqref="A1054:A1055">
    <cfRule type="duplicateValues" dxfId="151" priority="149"/>
    <cfRule type="duplicateValues" dxfId="150" priority="150"/>
    <cfRule type="duplicateValues" dxfId="149" priority="151"/>
    <cfRule type="duplicateValues" dxfId="148" priority="152"/>
  </conditionalFormatting>
  <conditionalFormatting sqref="A1054:A1055">
    <cfRule type="duplicateValues" dxfId="147" priority="148"/>
  </conditionalFormatting>
  <conditionalFormatting sqref="A1054:A1055">
    <cfRule type="duplicateValues" dxfId="146" priority="147"/>
  </conditionalFormatting>
  <conditionalFormatting sqref="A1054:A1055">
    <cfRule type="duplicateValues" dxfId="145" priority="145"/>
    <cfRule type="duplicateValues" dxfId="144" priority="146"/>
  </conditionalFormatting>
  <conditionalFormatting sqref="A1054:A1055">
    <cfRule type="duplicateValues" dxfId="143" priority="142"/>
    <cfRule type="duplicateValues" dxfId="142" priority="143"/>
    <cfRule type="duplicateValues" dxfId="141" priority="144"/>
  </conditionalFormatting>
  <conditionalFormatting sqref="A1054:A1055">
    <cfRule type="duplicateValues" dxfId="140" priority="139" stopIfTrue="1"/>
    <cfRule type="duplicateValues" dxfId="139" priority="140" stopIfTrue="1"/>
    <cfRule type="cellIs" dxfId="138" priority="141" stopIfTrue="1" operator="equal">
      <formula>25504</formula>
    </cfRule>
  </conditionalFormatting>
  <conditionalFormatting sqref="A1054:A1055">
    <cfRule type="duplicateValues" dxfId="137" priority="138" stopIfTrue="1"/>
  </conditionalFormatting>
  <conditionalFormatting sqref="A1054">
    <cfRule type="duplicateValues" dxfId="136" priority="137"/>
  </conditionalFormatting>
  <conditionalFormatting sqref="A1054">
    <cfRule type="duplicateValues" dxfId="135" priority="135"/>
    <cfRule type="duplicateValues" dxfId="134" priority="136"/>
  </conditionalFormatting>
  <conditionalFormatting sqref="A1054">
    <cfRule type="duplicateValues" dxfId="133" priority="134" stopIfTrue="1"/>
  </conditionalFormatting>
  <conditionalFormatting sqref="A1054">
    <cfRule type="duplicateValues" dxfId="132" priority="131" stopIfTrue="1"/>
    <cfRule type="duplicateValues" dxfId="131" priority="132" stopIfTrue="1"/>
    <cfRule type="duplicateValues" dxfId="130" priority="133" stopIfTrue="1"/>
  </conditionalFormatting>
  <conditionalFormatting sqref="A1054">
    <cfRule type="duplicateValues" dxfId="129" priority="128" stopIfTrue="1"/>
    <cfRule type="duplicateValues" dxfId="128" priority="129" stopIfTrue="1"/>
    <cfRule type="cellIs" dxfId="127" priority="130" stopIfTrue="1" operator="equal">
      <formula>25504</formula>
    </cfRule>
  </conditionalFormatting>
  <conditionalFormatting sqref="A1055">
    <cfRule type="duplicateValues" dxfId="126" priority="127"/>
  </conditionalFormatting>
  <conditionalFormatting sqref="A1055">
    <cfRule type="duplicateValues" dxfId="125" priority="125"/>
    <cfRule type="duplicateValues" dxfId="124" priority="126"/>
  </conditionalFormatting>
  <conditionalFormatting sqref="A1055">
    <cfRule type="duplicateValues" dxfId="123" priority="124" stopIfTrue="1"/>
  </conditionalFormatting>
  <conditionalFormatting sqref="A1055">
    <cfRule type="duplicateValues" dxfId="122" priority="121" stopIfTrue="1"/>
    <cfRule type="duplicateValues" dxfId="121" priority="122" stopIfTrue="1"/>
    <cfRule type="duplicateValues" dxfId="120" priority="123" stopIfTrue="1"/>
  </conditionalFormatting>
  <conditionalFormatting sqref="A1055">
    <cfRule type="duplicateValues" dxfId="119" priority="118" stopIfTrue="1"/>
    <cfRule type="duplicateValues" dxfId="118" priority="119" stopIfTrue="1"/>
    <cfRule type="cellIs" dxfId="117" priority="120" stopIfTrue="1" operator="equal">
      <formula>25504</formula>
    </cfRule>
  </conditionalFormatting>
  <conditionalFormatting sqref="A1056">
    <cfRule type="duplicateValues" dxfId="116" priority="117"/>
  </conditionalFormatting>
  <conditionalFormatting sqref="A1056">
    <cfRule type="duplicateValues" dxfId="115" priority="116"/>
  </conditionalFormatting>
  <conditionalFormatting sqref="A1056">
    <cfRule type="duplicateValues" dxfId="114" priority="115"/>
  </conditionalFormatting>
  <conditionalFormatting sqref="A1056">
    <cfRule type="duplicateValues" dxfId="113" priority="114"/>
  </conditionalFormatting>
  <conditionalFormatting sqref="A1056">
    <cfRule type="duplicateValues" dxfId="112" priority="113"/>
  </conditionalFormatting>
  <conditionalFormatting sqref="A1056">
    <cfRule type="duplicateValues" dxfId="111" priority="111"/>
    <cfRule type="duplicateValues" dxfId="110" priority="112"/>
  </conditionalFormatting>
  <conditionalFormatting sqref="A1056">
    <cfRule type="duplicateValues" dxfId="109" priority="110"/>
  </conditionalFormatting>
  <conditionalFormatting sqref="A1056">
    <cfRule type="duplicateValues" dxfId="108" priority="109"/>
  </conditionalFormatting>
  <conditionalFormatting sqref="A1056">
    <cfRule type="duplicateValues" dxfId="107" priority="106"/>
    <cfRule type="duplicateValues" dxfId="106" priority="107"/>
    <cfRule type="duplicateValues" dxfId="105" priority="108"/>
  </conditionalFormatting>
  <conditionalFormatting sqref="A1056">
    <cfRule type="duplicateValues" dxfId="104" priority="105"/>
  </conditionalFormatting>
  <conditionalFormatting sqref="A1056">
    <cfRule type="duplicateValues" dxfId="103" priority="104"/>
  </conditionalFormatting>
  <conditionalFormatting sqref="A1056">
    <cfRule type="duplicateValues" dxfId="102" priority="103"/>
  </conditionalFormatting>
  <conditionalFormatting sqref="A1056">
    <cfRule type="duplicateValues" dxfId="101" priority="102"/>
  </conditionalFormatting>
  <conditionalFormatting sqref="A1056">
    <cfRule type="duplicateValues" dxfId="100" priority="101"/>
  </conditionalFormatting>
  <conditionalFormatting sqref="A1056">
    <cfRule type="duplicateValues" dxfId="99" priority="100"/>
  </conditionalFormatting>
  <conditionalFormatting sqref="A1056">
    <cfRule type="duplicateValues" dxfId="98" priority="99"/>
  </conditionalFormatting>
  <conditionalFormatting sqref="A1056">
    <cfRule type="duplicateValues" dxfId="97" priority="98"/>
  </conditionalFormatting>
  <conditionalFormatting sqref="A1056">
    <cfRule type="duplicateValues" dxfId="96" priority="97"/>
  </conditionalFormatting>
  <conditionalFormatting sqref="A1056">
    <cfRule type="duplicateValues" dxfId="95" priority="96"/>
  </conditionalFormatting>
  <conditionalFormatting sqref="A1056">
    <cfRule type="duplicateValues" dxfId="94" priority="95"/>
  </conditionalFormatting>
  <conditionalFormatting sqref="A1056">
    <cfRule type="duplicateValues" dxfId="93" priority="94"/>
  </conditionalFormatting>
  <conditionalFormatting sqref="A1056">
    <cfRule type="duplicateValues" dxfId="92" priority="93"/>
  </conditionalFormatting>
  <conditionalFormatting sqref="A1056">
    <cfRule type="duplicateValues" dxfId="91" priority="92"/>
  </conditionalFormatting>
  <conditionalFormatting sqref="A1056">
    <cfRule type="duplicateValues" dxfId="90" priority="91"/>
  </conditionalFormatting>
  <conditionalFormatting sqref="A1056">
    <cfRule type="duplicateValues" dxfId="89" priority="89"/>
    <cfRule type="duplicateValues" dxfId="88" priority="90"/>
  </conditionalFormatting>
  <conditionalFormatting sqref="A1056">
    <cfRule type="duplicateValues" dxfId="87" priority="88"/>
  </conditionalFormatting>
  <conditionalFormatting sqref="A1056">
    <cfRule type="duplicateValues" dxfId="86" priority="87"/>
  </conditionalFormatting>
  <conditionalFormatting sqref="A1056">
    <cfRule type="duplicateValues" dxfId="85" priority="86"/>
  </conditionalFormatting>
  <conditionalFormatting sqref="A1056">
    <cfRule type="duplicateValues" dxfId="84" priority="84"/>
    <cfRule type="duplicateValues" dxfId="83" priority="85"/>
  </conditionalFormatting>
  <conditionalFormatting sqref="A1056">
    <cfRule type="duplicateValues" dxfId="82" priority="83"/>
  </conditionalFormatting>
  <conditionalFormatting sqref="A1056">
    <cfRule type="duplicateValues" dxfId="81" priority="82"/>
  </conditionalFormatting>
  <conditionalFormatting sqref="A1056">
    <cfRule type="duplicateValues" dxfId="80" priority="80"/>
    <cfRule type="duplicateValues" dxfId="79" priority="81"/>
  </conditionalFormatting>
  <conditionalFormatting sqref="A1056">
    <cfRule type="duplicateValues" dxfId="78" priority="79" stopIfTrue="1"/>
  </conditionalFormatting>
  <conditionalFormatting sqref="A1056">
    <cfRule type="duplicateValues" dxfId="77" priority="78" stopIfTrue="1"/>
  </conditionalFormatting>
  <conditionalFormatting sqref="A1056">
    <cfRule type="duplicateValues" dxfId="76" priority="77" stopIfTrue="1"/>
  </conditionalFormatting>
  <conditionalFormatting sqref="A1056">
    <cfRule type="duplicateValues" dxfId="75" priority="76" stopIfTrue="1"/>
  </conditionalFormatting>
  <conditionalFormatting sqref="A1056">
    <cfRule type="duplicateValues" dxfId="74" priority="75" stopIfTrue="1"/>
  </conditionalFormatting>
  <conditionalFormatting sqref="A1056">
    <cfRule type="duplicateValues" dxfId="73" priority="74" stopIfTrue="1"/>
  </conditionalFormatting>
  <conditionalFormatting sqref="A1056">
    <cfRule type="duplicateValues" dxfId="72" priority="71" stopIfTrue="1"/>
    <cfRule type="duplicateValues" dxfId="71" priority="72" stopIfTrue="1"/>
    <cfRule type="duplicateValues" dxfId="70" priority="73" stopIfTrue="1"/>
  </conditionalFormatting>
  <conditionalFormatting sqref="A1056">
    <cfRule type="duplicateValues" dxfId="69" priority="70" stopIfTrue="1"/>
  </conditionalFormatting>
  <conditionalFormatting sqref="A1056">
    <cfRule type="duplicateValues" dxfId="68" priority="69" stopIfTrue="1"/>
  </conditionalFormatting>
  <conditionalFormatting sqref="A1056">
    <cfRule type="duplicateValues" dxfId="67" priority="67" stopIfTrue="1"/>
    <cfRule type="duplicateValues" dxfId="66" priority="68" stopIfTrue="1"/>
  </conditionalFormatting>
  <conditionalFormatting sqref="A1056">
    <cfRule type="duplicateValues" dxfId="65" priority="64" stopIfTrue="1"/>
    <cfRule type="duplicateValues" dxfId="64" priority="65" stopIfTrue="1"/>
    <cfRule type="cellIs" dxfId="63" priority="66" stopIfTrue="1" operator="equal">
      <formula>25504</formula>
    </cfRule>
  </conditionalFormatting>
  <conditionalFormatting sqref="A1056">
    <cfRule type="duplicateValues" dxfId="62" priority="63" stopIfTrue="1"/>
  </conditionalFormatting>
  <conditionalFormatting sqref="A1056">
    <cfRule type="duplicateValues" dxfId="61" priority="61" stopIfTrue="1"/>
    <cfRule type="duplicateValues" dxfId="60" priority="62" stopIfTrue="1"/>
  </conditionalFormatting>
  <conditionalFormatting sqref="A1056">
    <cfRule type="duplicateValues" dxfId="59" priority="60" stopIfTrue="1"/>
  </conditionalFormatting>
  <conditionalFormatting sqref="A1056">
    <cfRule type="duplicateValues" dxfId="58" priority="59" stopIfTrue="1"/>
  </conditionalFormatting>
  <conditionalFormatting sqref="A1056">
    <cfRule type="duplicateValues" dxfId="57" priority="58" stopIfTrue="1"/>
  </conditionalFormatting>
  <conditionalFormatting sqref="A1056">
    <cfRule type="duplicateValues" dxfId="56" priority="55" stopIfTrue="1"/>
    <cfRule type="duplicateValues" dxfId="55" priority="56" stopIfTrue="1"/>
    <cfRule type="duplicateValues" dxfId="54" priority="57" stopIfTrue="1"/>
  </conditionalFormatting>
  <conditionalFormatting sqref="A1056">
    <cfRule type="duplicateValues" dxfId="53" priority="54" stopIfTrue="1"/>
  </conditionalFormatting>
  <conditionalFormatting sqref="A1056">
    <cfRule type="duplicateValues" dxfId="52" priority="53" stopIfTrue="1"/>
  </conditionalFormatting>
  <conditionalFormatting sqref="A1056">
    <cfRule type="duplicateValues" dxfId="51" priority="52" stopIfTrue="1"/>
  </conditionalFormatting>
  <conditionalFormatting sqref="A1056">
    <cfRule type="duplicateValues" dxfId="50" priority="51" stopIfTrue="1"/>
  </conditionalFormatting>
  <conditionalFormatting sqref="A1056">
    <cfRule type="duplicateValues" dxfId="49" priority="49" stopIfTrue="1"/>
    <cfRule type="duplicateValues" dxfId="48" priority="50" stopIfTrue="1"/>
  </conditionalFormatting>
  <conditionalFormatting sqref="A1056">
    <cfRule type="duplicateValues" dxfId="47" priority="48" stopIfTrue="1"/>
  </conditionalFormatting>
  <conditionalFormatting sqref="A1056">
    <cfRule type="duplicateValues" dxfId="46" priority="47" stopIfTrue="1"/>
  </conditionalFormatting>
  <conditionalFormatting sqref="A1056">
    <cfRule type="duplicateValues" dxfId="45" priority="46" stopIfTrue="1"/>
  </conditionalFormatting>
  <conditionalFormatting sqref="A1056">
    <cfRule type="duplicateValues" dxfId="44" priority="43" stopIfTrue="1"/>
    <cfRule type="duplicateValues" dxfId="43" priority="44" stopIfTrue="1"/>
    <cfRule type="duplicateValues" dxfId="42" priority="45" stopIfTrue="1"/>
  </conditionalFormatting>
  <conditionalFormatting sqref="A1056">
    <cfRule type="duplicateValues" dxfId="41" priority="42" stopIfTrue="1"/>
  </conditionalFormatting>
  <conditionalFormatting sqref="A1056">
    <cfRule type="duplicateValues" dxfId="40" priority="41" stopIfTrue="1"/>
  </conditionalFormatting>
  <conditionalFormatting sqref="A1056">
    <cfRule type="duplicateValues" dxfId="39" priority="39" stopIfTrue="1"/>
    <cfRule type="duplicateValues" dxfId="38" priority="40" stopIfTrue="1"/>
  </conditionalFormatting>
  <conditionalFormatting sqref="A1056">
    <cfRule type="duplicateValues" dxfId="37" priority="38" stopIfTrue="1"/>
  </conditionalFormatting>
  <conditionalFormatting sqref="A1056">
    <cfRule type="duplicateValues" dxfId="36" priority="37" stopIfTrue="1"/>
  </conditionalFormatting>
  <conditionalFormatting sqref="A1056">
    <cfRule type="duplicateValues" dxfId="35" priority="36" stopIfTrue="1"/>
  </conditionalFormatting>
  <conditionalFormatting sqref="A1056">
    <cfRule type="duplicateValues" dxfId="34" priority="35"/>
  </conditionalFormatting>
  <conditionalFormatting sqref="A1056">
    <cfRule type="duplicateValues" dxfId="33" priority="33"/>
    <cfRule type="duplicateValues" dxfId="32" priority="34"/>
  </conditionalFormatting>
  <conditionalFormatting sqref="A1056">
    <cfRule type="duplicateValues" dxfId="31" priority="30"/>
    <cfRule type="duplicateValues" dxfId="30" priority="31"/>
    <cfRule type="duplicateValues" dxfId="29" priority="32"/>
  </conditionalFormatting>
  <conditionalFormatting sqref="A1056">
    <cfRule type="duplicateValues" dxfId="28" priority="29" stopIfTrue="1"/>
  </conditionalFormatting>
  <conditionalFormatting sqref="A1056">
    <cfRule type="duplicateValues" dxfId="27" priority="26" stopIfTrue="1"/>
    <cfRule type="duplicateValues" dxfId="26" priority="27" stopIfTrue="1"/>
    <cfRule type="cellIs" dxfId="25" priority="28" stopIfTrue="1" operator="equal">
      <formula>25504</formula>
    </cfRule>
  </conditionalFormatting>
  <conditionalFormatting sqref="A1056">
    <cfRule type="duplicateValues" dxfId="24" priority="22"/>
    <cfRule type="duplicateValues" dxfId="23" priority="23"/>
    <cfRule type="duplicateValues" dxfId="22" priority="24"/>
    <cfRule type="duplicateValues" dxfId="21" priority="25"/>
  </conditionalFormatting>
  <conditionalFormatting sqref="A1056">
    <cfRule type="duplicateValues" dxfId="20" priority="21"/>
  </conditionalFormatting>
  <conditionalFormatting sqref="A1056">
    <cfRule type="duplicateValues" dxfId="19" priority="20"/>
  </conditionalFormatting>
  <conditionalFormatting sqref="A1056">
    <cfRule type="duplicateValues" dxfId="18" priority="18"/>
    <cfRule type="duplicateValues" dxfId="17" priority="19"/>
  </conditionalFormatting>
  <conditionalFormatting sqref="A1056">
    <cfRule type="duplicateValues" dxfId="16" priority="15"/>
    <cfRule type="duplicateValues" dxfId="15" priority="16"/>
    <cfRule type="duplicateValues" dxfId="14" priority="17"/>
  </conditionalFormatting>
  <conditionalFormatting sqref="A1056">
    <cfRule type="duplicateValues" dxfId="13" priority="12" stopIfTrue="1"/>
    <cfRule type="duplicateValues" dxfId="12" priority="13" stopIfTrue="1"/>
    <cfRule type="cellIs" dxfId="11" priority="14" stopIfTrue="1" operator="equal">
      <formula>25504</formula>
    </cfRule>
  </conditionalFormatting>
  <conditionalFormatting sqref="A1056">
    <cfRule type="duplicateValues" dxfId="10" priority="11" stopIfTrue="1"/>
  </conditionalFormatting>
  <conditionalFormatting sqref="A1056">
    <cfRule type="duplicateValues" dxfId="9" priority="10"/>
  </conditionalFormatting>
  <conditionalFormatting sqref="A1056">
    <cfRule type="duplicateValues" dxfId="8" priority="8"/>
    <cfRule type="duplicateValues" dxfId="7" priority="9"/>
  </conditionalFormatting>
  <conditionalFormatting sqref="A1056">
    <cfRule type="duplicateValues" dxfId="6" priority="7" stopIfTrue="1"/>
  </conditionalFormatting>
  <conditionalFormatting sqref="A1056">
    <cfRule type="duplicateValues" dxfId="5" priority="4" stopIfTrue="1"/>
    <cfRule type="duplicateValues" dxfId="4" priority="5" stopIfTrue="1"/>
    <cfRule type="duplicateValues" dxfId="3" priority="6" stopIfTrue="1"/>
  </conditionalFormatting>
  <conditionalFormatting sqref="A1056">
    <cfRule type="duplicateValues" dxfId="2" priority="1" stopIfTrue="1"/>
    <cfRule type="duplicateValues" dxfId="1" priority="2" stopIfTrue="1"/>
    <cfRule type="cellIs" dxfId="0" priority="3" stopIfTrue="1" operator="equal">
      <formula>25504</formula>
    </cfRule>
  </conditionalFormatting>
  <dataValidations count="1">
    <dataValidation type="whole" operator="lessThan" allowBlank="1" showInputMessage="1" showErrorMessage="1" sqref="A661:A666 A753:A802 A859:A860 A864:A877 A572:A581 A887:A1017 A1045:A1048 A1050:A1056">
      <formula1>65535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47"/>
  <sheetViews>
    <sheetView topLeftCell="C28" workbookViewId="0">
      <selection activeCell="E23" sqref="E23"/>
    </sheetView>
  </sheetViews>
  <sheetFormatPr defaultRowHeight="15" x14ac:dyDescent="0.25"/>
  <cols>
    <col min="1" max="1" width="10.83203125" customWidth="1"/>
    <col min="2" max="2" width="77" customWidth="1"/>
  </cols>
  <sheetData>
    <row r="1" spans="1:3" x14ac:dyDescent="0.25">
      <c r="A1" t="s">
        <v>10</v>
      </c>
      <c r="B1" t="s">
        <v>18</v>
      </c>
    </row>
    <row r="2" spans="1:3" x14ac:dyDescent="0.25">
      <c r="A2" t="s">
        <v>11</v>
      </c>
      <c r="B2" t="s">
        <v>19</v>
      </c>
    </row>
    <row r="3" spans="1:3" x14ac:dyDescent="0.25">
      <c r="A3" t="s">
        <v>0</v>
      </c>
    </row>
    <row r="4" spans="1:3" x14ac:dyDescent="0.25">
      <c r="A4" t="s">
        <v>12</v>
      </c>
    </row>
    <row r="5" spans="1:3" x14ac:dyDescent="0.25">
      <c r="A5" t="s">
        <v>13</v>
      </c>
    </row>
    <row r="6" spans="1:3" x14ac:dyDescent="0.25">
      <c r="A6" t="s">
        <v>14</v>
      </c>
    </row>
    <row r="7" spans="1:3" x14ac:dyDescent="0.25">
      <c r="A7" t="s">
        <v>15</v>
      </c>
    </row>
    <row r="8" spans="1:3" x14ac:dyDescent="0.25">
      <c r="A8" t="s">
        <v>16</v>
      </c>
    </row>
    <row r="9" spans="1:3" x14ac:dyDescent="0.25">
      <c r="A9" t="s">
        <v>17</v>
      </c>
    </row>
    <row r="10" spans="1:3" x14ac:dyDescent="0.25">
      <c r="A10" t="s">
        <v>9</v>
      </c>
      <c r="B10" t="s">
        <v>22</v>
      </c>
    </row>
    <row r="11" spans="1:3" x14ac:dyDescent="0.25">
      <c r="A11" t="s">
        <v>20</v>
      </c>
      <c r="B11" t="s">
        <v>28</v>
      </c>
    </row>
    <row r="16" spans="1:3" x14ac:dyDescent="0.25">
      <c r="C16" t="s">
        <v>29</v>
      </c>
    </row>
    <row r="17" spans="3:10" x14ac:dyDescent="0.25">
      <c r="C17" t="s">
        <v>32</v>
      </c>
      <c r="D17" t="s">
        <v>30</v>
      </c>
      <c r="E17" t="s">
        <v>31</v>
      </c>
      <c r="F17" t="s">
        <v>53</v>
      </c>
      <c r="G17" s="1" t="s">
        <v>72</v>
      </c>
      <c r="H17" s="1" t="s">
        <v>66</v>
      </c>
      <c r="I17" s="1" t="s">
        <v>67</v>
      </c>
      <c r="J17" s="1" t="s">
        <v>68</v>
      </c>
    </row>
    <row r="18" spans="3:10" x14ac:dyDescent="0.25">
      <c r="C18" t="str">
        <f>"00"</f>
        <v>00</v>
      </c>
      <c r="D18">
        <v>0.75</v>
      </c>
      <c r="E18">
        <v>0.65</v>
      </c>
      <c r="F18">
        <v>24</v>
      </c>
      <c r="G18">
        <f>ROUND(F18*$D$40,0)</f>
        <v>3</v>
      </c>
      <c r="H18">
        <f t="shared" ref="H18:H32" si="0">ROUNDUP(D18*F18*$D$47,0)</f>
        <v>3</v>
      </c>
      <c r="I18">
        <f t="shared" ref="I18:I32" si="1">ROUND(E18*F18*$D$47,0)</f>
        <v>2</v>
      </c>
      <c r="J18">
        <f t="shared" ref="J18:J32" si="2">ROUND(F18*$D$42,0)</f>
        <v>72</v>
      </c>
    </row>
    <row r="19" spans="3:10" x14ac:dyDescent="0.25">
      <c r="C19" t="str">
        <f>"01"</f>
        <v>01</v>
      </c>
      <c r="D19">
        <v>0.8</v>
      </c>
      <c r="E19">
        <v>0.6</v>
      </c>
      <c r="F19">
        <v>43</v>
      </c>
      <c r="G19">
        <f t="shared" ref="G19:G32" si="3">ROUND(F19*$D$40,0)</f>
        <v>6</v>
      </c>
      <c r="H19">
        <f t="shared" si="0"/>
        <v>5</v>
      </c>
      <c r="I19">
        <f t="shared" si="1"/>
        <v>3</v>
      </c>
      <c r="J19">
        <f t="shared" si="2"/>
        <v>129</v>
      </c>
    </row>
    <row r="20" spans="3:10" x14ac:dyDescent="0.25">
      <c r="C20" t="str">
        <f>"02"</f>
        <v>02</v>
      </c>
      <c r="D20">
        <v>0.85</v>
      </c>
      <c r="E20">
        <v>0.55000000000000004</v>
      </c>
      <c r="F20">
        <v>70</v>
      </c>
      <c r="G20">
        <f t="shared" si="3"/>
        <v>9</v>
      </c>
      <c r="H20">
        <f t="shared" si="0"/>
        <v>8</v>
      </c>
      <c r="I20">
        <f t="shared" si="1"/>
        <v>5</v>
      </c>
      <c r="J20">
        <f t="shared" si="2"/>
        <v>210</v>
      </c>
    </row>
    <row r="21" spans="3:10" x14ac:dyDescent="0.25">
      <c r="C21" t="str">
        <f>"03"</f>
        <v>03</v>
      </c>
      <c r="D21">
        <v>0.9</v>
      </c>
      <c r="E21">
        <v>0.5</v>
      </c>
      <c r="F21">
        <v>103</v>
      </c>
      <c r="G21">
        <f t="shared" si="3"/>
        <v>13</v>
      </c>
      <c r="H21">
        <f t="shared" si="0"/>
        <v>12</v>
      </c>
      <c r="I21">
        <f t="shared" si="1"/>
        <v>6</v>
      </c>
      <c r="J21">
        <f t="shared" si="2"/>
        <v>309</v>
      </c>
    </row>
    <row r="22" spans="3:10" x14ac:dyDescent="0.25">
      <c r="C22" t="str">
        <f>"04"</f>
        <v>04</v>
      </c>
      <c r="D22">
        <v>0.95</v>
      </c>
      <c r="E22">
        <v>0.45</v>
      </c>
      <c r="F22">
        <v>141</v>
      </c>
      <c r="G22">
        <f t="shared" si="3"/>
        <v>18</v>
      </c>
      <c r="H22">
        <f t="shared" si="0"/>
        <v>17</v>
      </c>
      <c r="I22">
        <f t="shared" si="1"/>
        <v>8</v>
      </c>
      <c r="J22">
        <f t="shared" si="2"/>
        <v>423</v>
      </c>
    </row>
    <row r="23" spans="3:10" x14ac:dyDescent="0.25">
      <c r="C23" t="str">
        <f>"05"</f>
        <v>05</v>
      </c>
      <c r="D23">
        <v>1</v>
      </c>
      <c r="E23">
        <v>0.4</v>
      </c>
      <c r="F23">
        <v>194</v>
      </c>
      <c r="G23">
        <f t="shared" si="3"/>
        <v>25</v>
      </c>
      <c r="H23">
        <f t="shared" si="0"/>
        <v>24</v>
      </c>
      <c r="I23">
        <f t="shared" si="1"/>
        <v>9</v>
      </c>
      <c r="J23">
        <f t="shared" si="2"/>
        <v>582</v>
      </c>
    </row>
    <row r="24" spans="3:10" x14ac:dyDescent="0.25">
      <c r="C24" t="str">
        <f>"06"</f>
        <v>06</v>
      </c>
      <c r="D24">
        <v>1</v>
      </c>
      <c r="E24">
        <v>0.4</v>
      </c>
      <c r="F24">
        <v>268</v>
      </c>
      <c r="G24">
        <f t="shared" si="3"/>
        <v>35</v>
      </c>
      <c r="H24">
        <f t="shared" si="0"/>
        <v>33</v>
      </c>
      <c r="I24">
        <f t="shared" si="1"/>
        <v>13</v>
      </c>
      <c r="J24">
        <f t="shared" si="2"/>
        <v>804</v>
      </c>
    </row>
    <row r="25" spans="3:10" x14ac:dyDescent="0.25">
      <c r="C25" t="str">
        <f>"07"</f>
        <v>07</v>
      </c>
      <c r="D25">
        <v>1</v>
      </c>
      <c r="E25">
        <v>0.4</v>
      </c>
      <c r="F25">
        <v>350</v>
      </c>
      <c r="G25">
        <f t="shared" si="3"/>
        <v>46</v>
      </c>
      <c r="H25">
        <f t="shared" si="0"/>
        <v>42</v>
      </c>
      <c r="I25">
        <f t="shared" si="1"/>
        <v>17</v>
      </c>
      <c r="J25">
        <f t="shared" si="2"/>
        <v>1050</v>
      </c>
    </row>
    <row r="26" spans="3:10" x14ac:dyDescent="0.25">
      <c r="C26" t="str">
        <f>"08"</f>
        <v>08</v>
      </c>
      <c r="D26">
        <v>1</v>
      </c>
      <c r="E26">
        <v>0.4</v>
      </c>
      <c r="F26">
        <v>439</v>
      </c>
      <c r="G26">
        <f t="shared" si="3"/>
        <v>57</v>
      </c>
      <c r="H26">
        <f t="shared" si="0"/>
        <v>53</v>
      </c>
      <c r="I26">
        <f t="shared" si="1"/>
        <v>21</v>
      </c>
      <c r="J26">
        <f t="shared" si="2"/>
        <v>1317</v>
      </c>
    </row>
    <row r="27" spans="3:10" x14ac:dyDescent="0.25">
      <c r="C27" t="str">
        <f>"09"</f>
        <v>09</v>
      </c>
      <c r="D27">
        <v>1</v>
      </c>
      <c r="E27">
        <v>0.4</v>
      </c>
      <c r="F27">
        <v>534</v>
      </c>
      <c r="G27">
        <f t="shared" si="3"/>
        <v>69</v>
      </c>
      <c r="H27">
        <f t="shared" si="0"/>
        <v>65</v>
      </c>
      <c r="I27">
        <f t="shared" si="1"/>
        <v>26</v>
      </c>
      <c r="J27">
        <f t="shared" si="2"/>
        <v>1602</v>
      </c>
    </row>
    <row r="28" spans="3:10" x14ac:dyDescent="0.25">
      <c r="C28" t="str">
        <f>"10"</f>
        <v>10</v>
      </c>
      <c r="D28">
        <v>1</v>
      </c>
      <c r="E28">
        <v>0.4</v>
      </c>
      <c r="F28">
        <v>635</v>
      </c>
      <c r="G28">
        <f t="shared" si="3"/>
        <v>83</v>
      </c>
      <c r="H28">
        <f t="shared" si="0"/>
        <v>77</v>
      </c>
      <c r="I28">
        <f t="shared" si="1"/>
        <v>30</v>
      </c>
      <c r="J28">
        <f t="shared" si="2"/>
        <v>1905</v>
      </c>
    </row>
    <row r="29" spans="3:10" x14ac:dyDescent="0.25">
      <c r="C29" t="str">
        <f>"11"</f>
        <v>11</v>
      </c>
      <c r="D29">
        <v>1</v>
      </c>
      <c r="E29">
        <v>0.4</v>
      </c>
      <c r="F29">
        <v>743</v>
      </c>
      <c r="G29">
        <f t="shared" si="3"/>
        <v>97</v>
      </c>
      <c r="H29">
        <f t="shared" si="0"/>
        <v>90</v>
      </c>
      <c r="I29">
        <f t="shared" si="1"/>
        <v>36</v>
      </c>
      <c r="J29">
        <f t="shared" si="2"/>
        <v>2229</v>
      </c>
    </row>
    <row r="30" spans="3:10" x14ac:dyDescent="0.25">
      <c r="C30" t="str">
        <f>"12"</f>
        <v>12</v>
      </c>
      <c r="D30">
        <v>1</v>
      </c>
      <c r="E30">
        <v>0.4</v>
      </c>
      <c r="F30">
        <v>856</v>
      </c>
      <c r="G30">
        <f t="shared" si="3"/>
        <v>111</v>
      </c>
      <c r="H30">
        <f t="shared" si="0"/>
        <v>103</v>
      </c>
      <c r="I30">
        <f t="shared" si="1"/>
        <v>41</v>
      </c>
      <c r="J30">
        <f t="shared" si="2"/>
        <v>2568</v>
      </c>
    </row>
    <row r="31" spans="3:10" x14ac:dyDescent="0.25">
      <c r="C31" t="str">
        <f>"13"</f>
        <v>13</v>
      </c>
      <c r="D31">
        <v>1</v>
      </c>
      <c r="E31">
        <v>0.4</v>
      </c>
      <c r="F31">
        <v>975</v>
      </c>
      <c r="G31">
        <f t="shared" si="3"/>
        <v>127</v>
      </c>
      <c r="H31">
        <f t="shared" si="0"/>
        <v>117</v>
      </c>
      <c r="I31">
        <f t="shared" si="1"/>
        <v>47</v>
      </c>
      <c r="J31">
        <f t="shared" si="2"/>
        <v>2925</v>
      </c>
    </row>
    <row r="32" spans="3:10" x14ac:dyDescent="0.25">
      <c r="C32" t="str">
        <f>"14"</f>
        <v>14</v>
      </c>
      <c r="D32">
        <v>1</v>
      </c>
      <c r="E32">
        <v>0.4</v>
      </c>
      <c r="F32">
        <v>1099</v>
      </c>
      <c r="G32">
        <f t="shared" si="3"/>
        <v>143</v>
      </c>
      <c r="H32">
        <f t="shared" si="0"/>
        <v>132</v>
      </c>
      <c r="I32">
        <f t="shared" si="1"/>
        <v>53</v>
      </c>
      <c r="J32">
        <f t="shared" si="2"/>
        <v>3297</v>
      </c>
    </row>
    <row r="33" spans="3:8" x14ac:dyDescent="0.25">
      <c r="F33" s="1"/>
    </row>
    <row r="34" spans="3:8" x14ac:dyDescent="0.25">
      <c r="F34" s="1"/>
    </row>
    <row r="37" spans="3:8" x14ac:dyDescent="0.25">
      <c r="C37" t="s">
        <v>54</v>
      </c>
      <c r="D37" t="s">
        <v>55</v>
      </c>
      <c r="F37" t="s">
        <v>52</v>
      </c>
      <c r="G37" s="1" t="s">
        <v>70</v>
      </c>
      <c r="H37" s="1" t="s">
        <v>71</v>
      </c>
    </row>
    <row r="38" spans="3:8" x14ac:dyDescent="0.25">
      <c r="C38" t="s">
        <v>56</v>
      </c>
      <c r="D38">
        <v>0.17</v>
      </c>
      <c r="E38">
        <v>11</v>
      </c>
      <c r="F38">
        <v>1</v>
      </c>
      <c r="G38">
        <v>0.32</v>
      </c>
      <c r="H38">
        <v>0.06</v>
      </c>
    </row>
    <row r="39" spans="3:8" x14ac:dyDescent="0.25">
      <c r="C39" t="s">
        <v>57</v>
      </c>
      <c r="D39">
        <v>0.15</v>
      </c>
      <c r="E39">
        <v>12</v>
      </c>
      <c r="F39">
        <v>2</v>
      </c>
      <c r="G39">
        <v>0.32</v>
      </c>
      <c r="H39">
        <v>0.06</v>
      </c>
    </row>
    <row r="40" spans="3:8" x14ac:dyDescent="0.25">
      <c r="C40" t="s">
        <v>58</v>
      </c>
      <c r="D40">
        <v>0.13</v>
      </c>
      <c r="E40">
        <v>13</v>
      </c>
      <c r="F40">
        <v>3</v>
      </c>
      <c r="G40">
        <v>0.27</v>
      </c>
      <c r="H40">
        <v>0.16</v>
      </c>
    </row>
    <row r="41" spans="3:8" x14ac:dyDescent="0.25">
      <c r="C41" s="2" t="s">
        <v>59</v>
      </c>
      <c r="D41" s="2">
        <v>0.16</v>
      </c>
      <c r="E41" s="2">
        <v>14</v>
      </c>
      <c r="F41">
        <v>4</v>
      </c>
      <c r="G41">
        <v>0.27</v>
      </c>
      <c r="H41">
        <v>0.16</v>
      </c>
    </row>
    <row r="42" spans="3:8" x14ac:dyDescent="0.25">
      <c r="C42" s="2" t="s">
        <v>65</v>
      </c>
      <c r="D42" s="2">
        <v>3</v>
      </c>
      <c r="E42" s="2">
        <v>14</v>
      </c>
      <c r="F42">
        <v>5</v>
      </c>
      <c r="G42">
        <v>0.3</v>
      </c>
      <c r="H42">
        <v>0.1</v>
      </c>
    </row>
    <row r="43" spans="3:8" x14ac:dyDescent="0.25">
      <c r="C43" t="s">
        <v>61</v>
      </c>
      <c r="D43">
        <v>0.16</v>
      </c>
      <c r="E43">
        <v>15</v>
      </c>
      <c r="F43">
        <v>6</v>
      </c>
      <c r="G43">
        <v>0.3</v>
      </c>
      <c r="H43">
        <v>0.1</v>
      </c>
    </row>
    <row r="44" spans="3:8" x14ac:dyDescent="0.25">
      <c r="C44" t="s">
        <v>62</v>
      </c>
      <c r="D44">
        <v>0.16</v>
      </c>
      <c r="E44">
        <v>16</v>
      </c>
    </row>
    <row r="45" spans="3:8" x14ac:dyDescent="0.25">
      <c r="C45" t="s">
        <v>60</v>
      </c>
      <c r="D45">
        <v>0.14000000000000001</v>
      </c>
      <c r="E45">
        <v>17</v>
      </c>
    </row>
    <row r="46" spans="3:8" x14ac:dyDescent="0.25">
      <c r="C46" t="s">
        <v>64</v>
      </c>
      <c r="D46">
        <v>0.12</v>
      </c>
      <c r="E46">
        <v>18</v>
      </c>
    </row>
    <row r="47" spans="3:8" x14ac:dyDescent="0.25">
      <c r="C47" t="s">
        <v>63</v>
      </c>
      <c r="D47">
        <v>0.12</v>
      </c>
      <c r="E47">
        <v>19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3</vt:i4>
      </vt:variant>
    </vt:vector>
  </HeadingPairs>
  <TitlesOfParts>
    <vt:vector size="6" baseType="lpstr">
      <vt:lpstr>Sheet1</vt:lpstr>
      <vt:lpstr>字段说明</vt:lpstr>
      <vt:lpstr>Sheet3</vt:lpstr>
      <vt:lpstr>白装引用表</vt:lpstr>
      <vt:lpstr>基础属性表</vt:lpstr>
      <vt:lpstr>职业武器属性表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Major Young</dc:creator>
  <cp:lastModifiedBy>Major Young</cp:lastModifiedBy>
  <dcterms:created xsi:type="dcterms:W3CDTF">1996-12-17T01:32:42Z</dcterms:created>
  <dcterms:modified xsi:type="dcterms:W3CDTF">2016-01-08T10:53:30Z</dcterms:modified>
</cp:coreProperties>
</file>