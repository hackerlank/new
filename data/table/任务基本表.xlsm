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2645" tabRatio="497"/>
  </bookViews>
  <sheets>
    <sheet name="Sheet1" sheetId="1" r:id="rId1"/>
    <sheet name="字段说明" sheetId="2" r:id="rId2"/>
    <sheet name="文本格式说明" sheetId="3" r:id="rId3"/>
    <sheet name="经验" sheetId="4" r:id="rId4"/>
    <sheet name="Sheet2" sheetId="5" r:id="rId5"/>
    <sheet name="测试功能" sheetId="6" r:id="rId6"/>
    <sheet name="0917测试第二版" sheetId="7" r:id="rId7"/>
    <sheet name="Sheet3" sheetId="8" r:id="rId8"/>
  </sheets>
  <definedNames>
    <definedName name="MmExcelLinker_FA1F8535_D8F5_4B54_A31A_A496410B3102">#REF!</definedName>
  </definedNames>
  <calcPr calcId="144525"/>
</workbook>
</file>

<file path=xl/sharedStrings.xml><?xml version="1.0" encoding="utf-8"?>
<sst xmlns="http://schemas.openxmlformats.org/spreadsheetml/2006/main" count="1005">
  <si>
    <t>任务编号</t>
  </si>
  <si>
    <t>策划调试信息</t>
  </si>
  <si>
    <t>名称</t>
  </si>
  <si>
    <t>类型</t>
  </si>
  <si>
    <t>地图</t>
  </si>
  <si>
    <t>最低等级</t>
  </si>
  <si>
    <t>最高等级</t>
  </si>
  <si>
    <t>前置任务</t>
  </si>
  <si>
    <t>每日次数</t>
  </si>
  <si>
    <t>接任务NPC</t>
  </si>
  <si>
    <t>接NPC备注</t>
  </si>
  <si>
    <t>交任务NPC</t>
  </si>
  <si>
    <t>交NPC备注</t>
  </si>
  <si>
    <t>目标地图</t>
  </si>
  <si>
    <t>采集NPC</t>
  </si>
  <si>
    <t>护送npc</t>
  </si>
  <si>
    <t>目标怪物</t>
  </si>
  <si>
    <t>收集道具</t>
  </si>
  <si>
    <t>步骤总数</t>
  </si>
  <si>
    <t>初始步骤数量</t>
  </si>
  <si>
    <t>成长勋章</t>
  </si>
  <si>
    <t>历练勋章</t>
  </si>
  <si>
    <t>战争勋章</t>
  </si>
  <si>
    <t>奖励经验</t>
  </si>
  <si>
    <t>奖励银币</t>
  </si>
  <si>
    <t>奖励赠点</t>
  </si>
  <si>
    <t>奖励硬币</t>
  </si>
  <si>
    <t>奖励道具</t>
  </si>
  <si>
    <t>任务道具</t>
  </si>
  <si>
    <t>任务描述</t>
  </si>
  <si>
    <t>接任务文本</t>
  </si>
  <si>
    <t>交任务文本</t>
  </si>
  <si>
    <t>不可交任务文本</t>
  </si>
  <si>
    <t>任务提示</t>
  </si>
  <si>
    <t>备注</t>
  </si>
  <si>
    <t>军团任务类型</t>
  </si>
  <si>
    <t>任务追踪接取</t>
  </si>
  <si>
    <t>任务追踪完成</t>
  </si>
  <si>
    <t>收集材料</t>
  </si>
  <si>
    <t>是否检索</t>
  </si>
  <si>
    <t>快捷交付</t>
  </si>
  <si>
    <t>瞬间到达接取</t>
  </si>
  <si>
    <t>瞬间直接完成</t>
  </si>
  <si>
    <t>狩猎任务</t>
  </si>
  <si>
    <t>客户端判定任务</t>
  </si>
  <si>
    <t>任务内容</t>
  </si>
  <si>
    <t>系统自动接取</t>
  </si>
  <si>
    <t>苏醒</t>
  </si>
  <si>
    <t>系统自动</t>
  </si>
  <si>
    <t>镇长</t>
  </si>
  <si>
    <t>title(苏醒)
body(hotyellow_3(任务进程:)newline()
   与goto(63096,1)交谈。
blankline()hotyellow_3(任务描述:)newline() 
space()space()space()星之国覆灭的一幕幕如同昨日，浑浑噩噩度日终究不是办法，还是去找曾是星之国内政大臣的镇长了解一下现状吧。)</t>
  </si>
  <si>
    <t>body(   space()space()space()player()殿下？您好啊，我是星之国……啊不，星之镇的镇长，感谢奥丁神王，您终于振作起来了。)</t>
  </si>
  <si>
    <t>与镇长交谈。</t>
  </si>
  <si>
    <t>&lt;p&gt;
&lt;n&gt;找到： &lt;/n&gt;
 &lt;n&gt; &lt;/n&gt;&lt;goto quick="1" id="63096" mapid="1" flagpoint="1" taskid="3001"/&gt;
&lt;/p&gt;</t>
  </si>
  <si>
    <t>&lt;p&gt;
&lt;n&gt;回复：&lt;/n&gt;
 &lt;n&gt; &lt;/n&gt;&lt;goto quick="1" id="63096" mapid="1" flagpoint="1" taskid="3001"/&gt;
&lt;/p&gt;</t>
  </si>
  <si>
    <t>采集</t>
  </si>
  <si>
    <t>遗物</t>
  </si>
  <si>
    <t>title(遗物)
body(hotyellow_3(任务进程:)newline()
   打开goto(63093,1)并回复goto(63096,1)。
blankline()hotyellow_3(任务描述:)newline() 
space()space()space()看来星之国国王早已预料到了星之国的覆灭，赶紧打开箱子看看到底是什么吧。)</t>
  </si>
  <si>
    <t>body(   space()space()space()player()殿下，星之国覆灭之前，国王陛下曾嘱托我把这个箱子交给您。)</t>
  </si>
  <si>
    <t>body(   space()space()space()player()殿下，看来国王陛下对您寄予厚望，星之国的复兴就靠您了。)</t>
  </si>
  <si>
    <t>殿下，箱子就在我身旁。</t>
  </si>
  <si>
    <t>打开箱子。</t>
  </si>
  <si>
    <t>&lt;p&gt;
&lt;n&gt;  打开&lt;/n&gt;
 &lt;n&gt; &lt;/n&gt;&lt;goto quick="1" id="63093" mapid="1" flagpoint="1" taskid="7200" /&gt;
&lt;n&gt;取出国王遗物。&lt;/n&gt;
&lt;/p&gt;</t>
  </si>
  <si>
    <t>&lt;p&gt;
&lt;n&gt;回复：&lt;/n&gt;
 &lt;n&gt; &lt;/n&gt;&lt;goto quick="1" id="63096" mapid="1" flagpoint="1" taskid="7200"/&gt;
&lt;/p&gt;</t>
  </si>
  <si>
    <t>对话</t>
  </si>
  <si>
    <t>招揽</t>
  </si>
  <si>
    <t>title(招揽)
body(hotyellow_3(任务进程:)newline()
   与goto(63096,1)交谈。
blankline()hotyellow_3(任务描述:)newline() 
space()space()space()星之岛毕竟曾是星之国的领土，若是能够招揽曾是内政大臣的镇长，联合星之镇的力量，必然是推翻帝国的一大助力。)</t>
  </si>
  <si>
    <t>body(   space()space()space()一同讨伐四大帝国？这，这个……player()殿下，容我想想。)</t>
  </si>
  <si>
    <t>body(   space()space()space()player()殿下，不瞒您说，星之国与四大帝国一战之后，只剩下些老弱妇孺，实在是……)</t>
  </si>
  <si>
    <t>&lt;p&gt;
&lt;n&gt;找到： &lt;/n&gt;
 &lt;n&gt; &lt;/n&gt;&lt;goto quick="1" id="63096" mapid="1" flagpoint="1" taskid="7201"/&gt;
&lt;/p&gt;</t>
  </si>
  <si>
    <t>&lt;p&gt;
&lt;n&gt;回复：&lt;/n&gt;
 &lt;n&gt; &lt;/n&gt;&lt;goto quick="1" id="63096" mapid="1" flagpoint="1" taskid="7201"/&gt;
&lt;/p&gt;</t>
  </si>
  <si>
    <t>询问</t>
  </si>
  <si>
    <t>小女孩</t>
  </si>
  <si>
    <t>title(询问)
body(hotyellow_3(任务进程:)newline()
   与goto(63097,1)交谈。
blankline()hotyellow_3(任务描述:)newline() 
space()space()space()镇长的婉言拒绝到底是因为什么，也许只有到星之镇中走走才能知道了。)</t>
  </si>
  <si>
    <t>body(   space()space()space()抱歉，星之镇再也经受不起战火铁蹄了。哎，这一切，您去镇上走走，就会明白了。)</t>
  </si>
  <si>
    <t>body(   space()space()space()您是问我的爸爸吗？妈妈说，爸爸在天上看着我们，他是星之国的英雄哦。)</t>
  </si>
  <si>
    <t>殿下您怎么又回来了？</t>
  </si>
  <si>
    <t>&lt;p&gt;
&lt;n&gt;找到： &lt;/n&gt;
 &lt;n&gt; &lt;/n&gt;&lt;goto quick="1" id="63096" mapid="1" flagpoint="1" taskid="7202"/&gt;
&lt;/p&gt;</t>
  </si>
  <si>
    <t>&lt;p&gt;
&lt;n&gt;回复：&lt;/n&gt;
 &lt;n&gt; &lt;/n&gt;&lt;goto quick="1" id="63097" mapid="1" flagpoint="1" taskid="7202"/&gt;
&lt;/p&gt;</t>
  </si>
  <si>
    <t>残破武器</t>
  </si>
  <si>
    <t>title(残破武器)
body(hotyellow_3(任务进程:)newline()
   与goto(63097,1)交谈。
blankline()hotyellow_3(任务描述:)newline() 
space()space()space()偶遇的小女孩似乎有什么伤心事，既然都遇见了不管可不好，帮帮她吧。)</t>
  </si>
  <si>
    <t>body(   space()space()space()妈妈生病了，她已经很久没有吃饱了，可是家里没有粮食了，怎么办？呜呜呜……)</t>
  </si>
  <si>
    <t>body(   space()space()space()真的吗？您愿意帮我？您是个好人，这是爸爸留下的武器，我本来想用它换粮食的，唔……就当是报酬吧。)</t>
  </si>
  <si>
    <t>与小女孩交谈。</t>
  </si>
  <si>
    <t>&lt;p&gt;
&lt;n&gt;找到： &lt;/n&gt;
 &lt;n&gt; &lt;/n&gt;&lt;goto quick="1" id="63097" mapid="1" flagpoint="1" taskid="7203"/&gt;
&lt;/p&gt;</t>
  </si>
  <si>
    <t>&lt;p&gt;
&lt;n&gt;回复：&lt;/n&gt;
 &lt;n&gt; &lt;/n&gt;&lt;goto quick="1" id="63097" mapid="1" flagpoint="1" taskid="7203"/&gt;
&lt;/p&gt;</t>
  </si>
  <si>
    <t>修理</t>
  </si>
  <si>
    <t>老铁匠</t>
  </si>
  <si>
    <t>{{1000,0,1,1,"1-1,4-1"}}</t>
  </si>
  <si>
    <t>title(修理)
body(hotyellow_3(任务进程:)newline()
   与goto(63098,1)交谈。
blankline()hotyellow_3(任务描述:)newline() 
space()space()space()这件破损的武器尘封许久，已经不能使用，看来只能找一位匠人修理修理了。)</t>
  </si>
  <si>
    <t>body(   space()space()space()不能用了吗？那怎么办……哦，对了，可以找铁匠爷爷修一修，铁匠爷爷人很好的。)</t>
  </si>
  <si>
    <t>body(   space()space()space()呦呵，player()殿下，您来啦，真是俺的荣幸。修理武器？没问题，包在老头子我的身上。)</t>
  </si>
  <si>
    <t>&lt;p&gt;
&lt;n&gt;找到： &lt;/n&gt;
 &lt;n&gt; &lt;/n&gt;&lt;goto quick="1" id="63097" mapid="1" flagpoint="1" taskid="7204"/&gt;
&lt;/p&gt;</t>
  </si>
  <si>
    <t>&lt;p&gt;
&lt;n&gt;回复：&lt;/n&gt;
 &lt;n&gt; &lt;/n&gt;&lt;goto quick="1" id="63098" mapid="1" flagpoint="1" taskid="7204"/&gt;
&lt;/p&gt;</t>
  </si>
  <si>
    <t>杀怪</t>
  </si>
  <si>
    <t>野猪肉</t>
  </si>
  <si>
    <t>{{14100,0,1,1,"1-1,4-1"}}</t>
  </si>
  <si>
    <t>title(野猪肉)
body(hotyellow_3(任务进程:)newline()
   击杀goto(15625,1)并回复goto(63098,1)。
blankline()hotyellow_3(任务描述:)newline() 
space()space()space()看来年迈铁匠的家境同样窘迫，去镇外不远的野猪岛多猎取一些野猪肉回来吧。)</t>
  </si>
  <si>
    <t>body(   space()space()space()您要帮我们猎取食物吗？您真是个好人。但是野猪岛的野猪很是凶猛，殿下可得当心。)</t>
  </si>
  <si>
    <t>body(   space()space()space()嗬，这么多野猪肉真是太好了。天啦，您受伤了！俺真是老糊涂，忘记将这件铠甲交给您了。)</t>
  </si>
  <si>
    <t>与老铁匠交谈。</t>
  </si>
  <si>
    <t>&lt;p&gt;
&lt;n&gt;击败&lt;/n&gt;
 &lt;n&gt; &lt;/n&gt;&lt;goto quick="1" id="15625" mapid="1" flagpoint="1" taskid="7205" /&gt;
&lt;/p&gt;</t>
  </si>
  <si>
    <t>&lt;p&gt;
&lt;n&gt;回复：&lt;/n&gt;
 &lt;n&gt; &lt;/n&gt;&lt;goto quick="1" id="63098" mapid="1" flagpoint="1" taskid="7205"/&gt;
&lt;/p&gt;</t>
  </si>
  <si>
    <t>{s_taskKillNpc, {63098,63098,15625,3}}</t>
  </si>
  <si>
    <t>野猪皮</t>
  </si>
  <si>
    <t>title(野猪皮)
body(hotyellow_3(任务进程:)newline()
   击杀goto(15618,1)并回复goto(63098,1)。
blankline()hotyellow_3(任务描述:)newline() 
space()space()space()铠甲虽然材质普通却也做工精致，若是能够搭上一条合适的腰带那就更好了，成年钢背野猪的皮是做腰带的好材料。)</t>
  </si>
  <si>
    <t>body(   space()space()space()哈哈，怎么样，老头子的手艺还是不错的吧，只可惜俺这里材料不够，不然就能给您做一条合适的腰带。)</t>
  </si>
  <si>
    <t>body(   space()space()space()够了够了，就是这些，做腰带需要些功夫，还得请您多等些时间。)</t>
  </si>
  <si>
    <t>钢背野猪就在镇外的野猪岛上。</t>
  </si>
  <si>
    <t>&lt;p&gt;
&lt;n&gt;击败&lt;/n&gt;
 &lt;n&gt; &lt;/n&gt;&lt;goto quick="1" id="15618" mapid="1" flagpoint="1" taskid="7206" /&gt;
&lt;/p&gt;</t>
  </si>
  <si>
    <t>&lt;p&gt;
&lt;n&gt;回复：&lt;/n&gt;
 &lt;n&gt; &lt;/n&gt;&lt;goto quick="1" id="63098" mapid="1" flagpoint="1" taskid="7206"/&gt;
&lt;/p&gt;</t>
  </si>
  <si>
    <t>{s_taskKillNpc, {63098,63098,15618,3}}</t>
  </si>
  <si>
    <t>送肉干</t>
  </si>
  <si>
    <t>title(送肉干)
body(hotyellow_3(任务进程:)newline()
   去找goto(63097,1)。
blankline()hotyellow_3(任务描述:)newline() 
space()space()space()气候潮湿的星之岛只有肉干才能长时间保存，如此多的肉干对于女孩一家来说如同天降甘霖。)</t>
  </si>
  <si>
    <t>body(   space()space()space()哦，对了，先前的野猪肉已经被俺做成了肉干，麻烦您跑一趟把这些给那孩子送去吧。)</t>
  </si>
  <si>
    <t>body(   space()space()space()好香啊，唔，我不能吃，我要留给妈妈，真希望她的病能够快点好起来。)</t>
  </si>
  <si>
    <t>那孩子真是可怜。</t>
  </si>
  <si>
    <t>与铁匠交谈。</t>
  </si>
  <si>
    <t>&lt;p&gt;
&lt;n&gt;找到： &lt;/n&gt;
 &lt;n&gt; &lt;/n&gt;&lt;goto quick="1" id="63098" mapid="1" flagpoint="1" taskid="7207"/&gt;
&lt;/p&gt;</t>
  </si>
  <si>
    <t>&lt;p&gt;
&lt;n&gt;回复：&lt;/n&gt;
 &lt;n&gt; &lt;/n&gt;&lt;goto quick="1" id="63097" mapid="1" flagpoint="1" taskid="7207"/&gt;
&lt;/p&gt;</t>
  </si>
  <si>
    <t>{s_taskTalk,{63098,63097}}</t>
  </si>
  <si>
    <t>眷顾</t>
  </si>
  <si>
    <t>{{16100,0,1,1,"1-1,4-1"}}</t>
  </si>
  <si>
    <t>title(眷顾)
body(hotyellow_3(任务进程:)newline()
   去找goto(63098,1)。
blankline()hotyellow_3(任务描述:)newline() 
space()space()space()希望小女孩的祝福能够成为现实吧，腰带应该已经做好了，赶紧去老铁匠那里领取吧。)</t>
  </si>
  <si>
    <t>body(   space()space()space()谢谢您，妈妈说过，善良的人会被神王奥丁眷顾。)</t>
  </si>
  <si>
    <t>body(   space()space()space()嘿，腰带已经做好了，您赶紧试试，俺的手艺绝对让您满意。)</t>
  </si>
  <si>
    <t>大哥哥是好人。</t>
  </si>
  <si>
    <t>&lt;p&gt;
&lt;n&gt;找到： &lt;/n&gt;
 &lt;n&gt; &lt;/n&gt;&lt;goto quick="1" id="63097" mapid="1" flagpoint="1" taskid="7208"/&gt;
&lt;/p&gt;</t>
  </si>
  <si>
    <t>&lt;p&gt;
&lt;n&gt;回复：&lt;/n&gt;
 &lt;n&gt; &lt;/n&gt;&lt;goto quick="1" id="63098" mapid="1" flagpoint="1" taskid="7208"/&gt;
&lt;/p&gt;</t>
  </si>
  <si>
    <t>{s_taskTalk,{63097,63098}}</t>
  </si>
  <si>
    <t>野猪领主</t>
  </si>
  <si>
    <t>title(野猪领主)
body(hotyellow_3(任务进程:)newline()
   击杀goto(15628,1)并回复goto(63098,1)。
blankline()hotyellow_3(任务描述:)newline() 
space()space()space()帮人帮到底，正好去试试刚得到的新装备，不过野猪领主很强大，务必小心。)</t>
  </si>
  <si>
    <t>body(   space()space()space()嗯？您是问那孩子妈妈的病啊，依俺看，光是这样肯定很难痊愈，除非能吃下野猪领主的心。)</t>
  </si>
  <si>
    <t>body(   space()space()space()这是……野猪领主的心脏？不愧是player()殿下！那孩子妈妈的病有救了。)</t>
  </si>
  <si>
    <t>钢背领主就在镇外的野猪岛上。</t>
  </si>
  <si>
    <t>&lt;p&gt;
&lt;n&gt;击败&lt;/n&gt;
 &lt;n&gt; &lt;/n&gt;&lt;goto quick="1" id="15628" mapid="1" flagpoint="1" taskid="7209" /&gt;
&lt;/p&gt;</t>
  </si>
  <si>
    <t>&lt;p&gt;
&lt;n&gt;回复：&lt;/n&gt;
 &lt;n&gt; &lt;/n&gt;&lt;goto quick="1" id="63098" mapid="1" flagpoint="1" taskid="7209"/&gt;
&lt;/p&gt;</t>
  </si>
  <si>
    <t>{s_taskKillNpc, {63098,63098,15628,1}}</t>
  </si>
  <si>
    <t>苦衷</t>
  </si>
  <si>
    <t>title(苦衷)
body(hotyellow_3(任务进程:)newline()
   去找goto(63096,1)。
blankline()hotyellow_3(任务描述:)newline() 
space()space()space()星之国覆灭之战的惨烈难以想象，看来真的怪不得镇长，去和他聊聊吧。)</t>
  </si>
  <si>
    <t>body(   space()space()space()您是说镇长不愿意反抗帝国吗？哎，星之镇早已不是当年的星之国要塞，那场战争太可怕了。)</t>
  </si>
  <si>
    <t>body(   space()space()space()殿下，想必您已经了解我的苦衷了吧？星之镇已经无力再对抗四大帝国。)</t>
  </si>
  <si>
    <t>您还是去见见镇长吧。</t>
  </si>
  <si>
    <t>&lt;p&gt;
&lt;n&gt;找到： &lt;/n&gt;
 &lt;n&gt; &lt;/n&gt;&lt;goto quick="1" id="63098" mapid="1" flagpoint="1" taskid="7210"/&gt;
&lt;/p&gt;</t>
  </si>
  <si>
    <t>&lt;p&gt;
&lt;n&gt;回复：&lt;/n&gt;
 &lt;n&gt; &lt;/n&gt;&lt;goto quick="1" id="63096" mapid="1" flagpoint="1" taskid="7210"/&gt;
&lt;/p&gt;</t>
  </si>
  <si>
    <t>家传宝</t>
  </si>
  <si>
    <t>{{11100,0,1,1,"1-1,4-1"}}</t>
  </si>
  <si>
    <t>title(传家宝)
body(hotyellow_3(任务进程:)newline()
   去找goto(63096,1)。
blankline()hotyellow_3(任务描述:)newline() 
space()space()space()镇中的壮年男子几乎都战死于星之国守卫战，再无战力反抗帝国。)</t>
  </si>
  <si>
    <t>body(   space()space()space()殿下您应该已经发现，镇中几乎没有壮年男子，他们的墓就在南部无人岛上。)</t>
  </si>
  <si>
    <t>body(   space()space()space()多谢殿下的理解，请您务必收下这个，这是我的家传宝物，也许能够帮助您。)</t>
  </si>
  <si>
    <t>&lt;p&gt;
&lt;n&gt;找到： &lt;/n&gt;
 &lt;n&gt; &lt;/n&gt;&lt;goto quick="1" id="63096" mapid="1" flagpoint="1" taskid="7211"/&gt;
&lt;/p&gt;</t>
  </si>
  <si>
    <t>&lt;p&gt;
&lt;n&gt;回复：&lt;/n&gt;
 &lt;n&gt; &lt;/n&gt;&lt;goto quick="1" id="63096" mapid="1" flagpoint="1" taskid="7211"/&gt;
&lt;/p&gt;</t>
  </si>
  <si>
    <t>{s_taskTalk,{63096,63096}}</t>
  </si>
  <si>
    <t>急事</t>
  </si>
  <si>
    <t>护卫</t>
  </si>
  <si>
    <t>title(急事)
body(hotyellow_3(任务进程:)newline()
   去找goto(63100,1)。
blankline()hotyellow_3(任务描述:)newline() 
space()space()space()那一场战争中若没有这些星之国护卫的拼死保护根本不可能活着突围，如今他们有事怎能坐视不管。)</t>
  </si>
  <si>
    <t>body(   space()space()space()还有一件事，先前您离开时，幸存的前星之国护卫找您，好像是有什么急事。)</t>
  </si>
  <si>
    <t>body(   space()space()space()殿下，终于见到您了，护卫长他失踪了。)</t>
  </si>
  <si>
    <t>护卫就在镇中，快去找他们吧。</t>
  </si>
  <si>
    <t>&lt;p&gt;
&lt;n&gt;找到： &lt;/n&gt;
 &lt;n&gt; &lt;/n&gt;&lt;goto quick="1" id="63096" mapid="1" flagpoint="1" taskid="7212"/&gt;
&lt;/p&gt;</t>
  </si>
  <si>
    <t>&lt;p&gt;
&lt;n&gt;回复：&lt;/n&gt;
 &lt;n&gt; &lt;/n&gt;&lt;goto quick="1" id="63100" mapid="1" flagpoint="1" taskid="7212"/&gt;
&lt;/p&gt;</t>
  </si>
  <si>
    <t>{s_taskTalk,{63096,63100}}</t>
  </si>
  <si>
    <t>寻找</t>
  </si>
  <si>
    <t>{{15100,0,1,1,"1-1,4-1"}}</t>
  </si>
  <si>
    <t>title(寻找)
body(hotyellow_3(任务进程:)newline()
   击杀goto(15632,1)并回复goto(63100,1)。
blankline()hotyellow_3(任务描述:)newline() 
space()space()space()无人岛诡异的出现了死灵法师，看来护卫长的失踪定是与这些死灵存在干系。)</t>
  </si>
  <si>
    <t>body(   space()space()space()是这样的，昨日队长去南部无人岛祭奠死去的兄弟，到现在都没有回来，他可能遇到麻烦了。)</t>
  </si>
  <si>
    <t>body(   space()space()space()您终于回来了，什么？死灵法师？原本那里是没有死灵存在的啊，太危险了，您戴上这个吧。)</t>
  </si>
  <si>
    <t>几个无人岛就在星之岛南面</t>
  </si>
  <si>
    <t>与护卫交谈。</t>
  </si>
  <si>
    <t>&lt;p&gt;
&lt;n&gt;击败&lt;/n&gt;
 &lt;n&gt; &lt;/n&gt;&lt;goto quick="1" id="15632" mapid="1" flagpoint="1" taskid="7213" /&gt;
&lt;/p&gt;</t>
  </si>
  <si>
    <t>&lt;p&gt;
&lt;n&gt;回复：&lt;/n&gt;
 &lt;n&gt; &lt;/n&gt;&lt;goto quick="1" id="63100" mapid="1" flagpoint="1" taskid="7213"/&gt;
&lt;/p&gt;</t>
  </si>
  <si>
    <t>{s_taskKillNpc, {63100,63100,15632,3}}</t>
  </si>
  <si>
    <t>深入</t>
  </si>
  <si>
    <t>护卫长</t>
  </si>
  <si>
    <t>title(深入)
body(hotyellow_3(任务进程:)newline()
   去找goto(63099,1)。
blankline()hotyellow_3(任务描述:)newline() 
space()space()space()有了这件护符后对亡灵魔法的抵抗力强了几分，再次前往无人岛深入寻找吧。)</t>
  </si>
  <si>
    <t>body(   space()space()space()您还要再去吗？一定要小心啊，您如果出了什么事，队长一定会更加痛苦。)</t>
  </si>
  <si>
    <t>body(   space()space()space()您，您是player()殿下？临死之前，能够再见到您真是神王的恩赐。)</t>
  </si>
  <si>
    <t>&lt;p&gt;
&lt;n&gt;找到： &lt;/n&gt;
 &lt;n&gt; &lt;/n&gt;&lt;goto quick="1" id="63100" mapid="1" flagpoint="1" taskid="7214"/&gt;
&lt;/p&gt;</t>
  </si>
  <si>
    <t>&lt;p&gt;
&lt;n&gt;回复：&lt;/n&gt;
 &lt;n&gt; &lt;/n&gt;&lt;goto quick="1" id="63099" mapid="1" flagpoint="1" taskid="7214"/&gt;
&lt;/p&gt;</t>
  </si>
  <si>
    <t>濒死</t>
  </si>
  <si>
    <t>{{17100,0,1,1,"1-1,4-1"}}</t>
  </si>
  <si>
    <t>title(濒死)
body(hotyellow_3(任务进程:)newline()
   去找goto(63099,1)。
blankline()hotyellow_3(任务描述:)newline() 
space()space()space()护卫长的身上散发着腐臭的黑气，亡灵魔法已经侵蚀了他的身体，随时都有可能夺取最后的一丝生机。)</t>
  </si>
  <si>
    <t>body(   space()space()space()这里太危险了，殿下，您赶紧离开吧。亡灵魔法已经侵蚀了我的身体，恐怕不能再守护您了。)</t>
  </si>
  <si>
    <t>body(   space()space()space()殿下，带上这个，让它替我保护您吧。)</t>
  </si>
  <si>
    <t>与护卫长交谈。</t>
  </si>
  <si>
    <t>&lt;p&gt;
&lt;n&gt;找到： &lt;/n&gt;
 &lt;n&gt; &lt;/n&gt;&lt;goto quick="1" id="63099" mapid="1" flagpoint="1" taskid="7215"/&gt;
&lt;/p&gt;</t>
  </si>
  <si>
    <t>&lt;p&gt;
&lt;n&gt;回复：&lt;/n&gt;
 &lt;n&gt; &lt;/n&gt;&lt;goto quick="1" id="63099" mapid="1" flagpoint="1" taskid="7215"/&gt;
&lt;/p&gt;</t>
  </si>
  <si>
    <t>死亡侍者</t>
  </si>
  <si>
    <t>title(死亡侍者)
body(hotyellow_3(任务进程:)newline()
   去找goto(63099,1)。
blankline()hotyellow_3(任务描述:)newline() 
space()space()space()原来这些死灵生物是被星之国勇士的魂魄吸引而来，怎能容忍这些肮脏的生物吞噬勇士的魂魄，将它们尽数斩灭吧！ )</t>
  </si>
  <si>
    <t>body(   space()space()space()这些可恶的死灵生物是为了吞噬此地的灵魂才滋生的，只可惜我的实力不够，不能守护战友们的灵魂，该死！)</t>
  </si>
  <si>
    <t>body(   space()space()space()您斩杀了亡灵生物？殿下，原来您已经这么强大了，哈哈，我星之国复兴有望，复兴有望啊！)</t>
  </si>
  <si>
    <t>不用担心我，快走吧。</t>
  </si>
  <si>
    <t>&lt;p&gt;
&lt;n&gt;击败&lt;/n&gt;
 &lt;n&gt; &lt;/n&gt;&lt;goto quick="1" id="15638" mapid="1" flagpoint="1" taskid="7216" /&gt;
&lt;/p&gt;</t>
  </si>
  <si>
    <t>&lt;p&gt;
&lt;n&gt;回复：&lt;/n&gt;
 &lt;n&gt; &lt;/n&gt;&lt;goto quick="1" id="63099" mapid="1" flagpoint="1" taskid="7216"/&gt;
&lt;/p&gt;</t>
  </si>
  <si>
    <t>{s_taskKillNpc, {63099,63099,15638,3}}</t>
  </si>
  <si>
    <t>解脱</t>
  </si>
  <si>
    <t>title(解脱)
body(hotyellow_3(任务进程:)newline()
   去找goto(63100,1)。
blankline()hotyellow_3(任务描述:)newline() 
space()space()space()没有保护好国王，就连死去兄弟的魂魄都无力保护，对于护卫长来说，这份愧疚已经深入灵魂，但他依旧是英雄，真正的英雄。)</t>
  </si>
  <si>
    <t>body(   space()space()space()我不走了，亡灵魔法已经渗入灵魂，就算离开这里也活不了多久了，殿下，麻烦您给兄弟们带个信吧。)</t>
  </si>
  <si>
    <t>body(   space()space()space()队长一直为没有保护好国王大人而内疚，能和当年死去的兄弟葬在一起，对于他来说是一种解脱。)</t>
  </si>
  <si>
    <t>永别了殿下。</t>
  </si>
  <si>
    <t>&lt;p&gt;
&lt;n&gt;找到： &lt;/n&gt;
 &lt;n&gt; &lt;/n&gt;&lt;goto quick="1" id="63099" mapid="1" flagpoint="1" taskid="7217"/&gt;
&lt;/p&gt;</t>
  </si>
  <si>
    <t>&lt;p&gt;
&lt;n&gt;回复：&lt;/n&gt;
 &lt;n&gt; &lt;/n&gt;&lt;goto quick="1" id="63100" mapid="1" flagpoint="1" taskid="7217"/&gt;
&lt;/p&gt;</t>
  </si>
  <si>
    <t>{s_taskTalk,{63099,63100}}</t>
  </si>
  <si>
    <t>参军</t>
  </si>
  <si>
    <t>title(参军)
body(hotyellow_3(任务进程:)newline()
   去找goto(63100,1)。
blankline()hotyellow_3(任务描述:)newline() 
space()space()space()或许是因为护卫长一事的刺激，几名前星之国的护卫决定进入帝国军队，以最快的速度成长。)</t>
  </si>
  <si>
    <t>body(   space()space()space()殿下，我们兄弟几个已经商量好去参军，只有进入军队才能更快强大。)</t>
  </si>
  <si>
    <t>body(   space()space()space()只有足够的强大，才能从内部推翻帝国的统治，复兴星之国，为国王和队长复仇。)</t>
  </si>
  <si>
    <t>&lt;p&gt;
&lt;n&gt;找到： &lt;/n&gt;
 &lt;n&gt; &lt;/n&gt;&lt;goto quick="1" id="63100" mapid="1" flagpoint="1" taskid="7218"/&gt;
&lt;/p&gt;</t>
  </si>
  <si>
    <t>&lt;p&gt;
&lt;n&gt;回复：&lt;/n&gt;
 &lt;n&gt; &lt;/n&gt;&lt;goto quick="1" id="63100" mapid="1" flagpoint="1" taskid="7218"/&gt;
&lt;/p&gt;</t>
  </si>
  <si>
    <t>{s_taskTalk,{63100,63100}}</t>
  </si>
  <si>
    <t>应征</t>
  </si>
  <si>
    <t>征募官</t>
  </si>
  <si>
    <t>title(应征)
body(hotyellow_3(任务进程:)newline()
   去找goto(63102,1)。
blankline()hotyellow_3(任务描述:)newline() 
space()space()space()靠自己现在的力量对抗四大帝国如同蚍蜉撼树，也许加入军队是一条不错的复仇之路。)</t>
  </si>
  <si>
    <t>body(   space()space()space()殿下您也有这个想法？太好了，以您的能力一定能推翻帝国统治，取而代之。)</t>
  </si>
  <si>
    <t>body(   space()space()space()嗯？来应征的？没看我忙着吗？到旁边等着，真是贱民。)</t>
  </si>
  <si>
    <t>帝国派来的征募官就在星之镇里。</t>
  </si>
  <si>
    <t>&lt;p&gt;
&lt;n&gt;找到： &lt;/n&gt;
 &lt;n&gt; &lt;/n&gt;&lt;goto quick="1" id="63100" mapid="1" flagpoint="1" taskid="7219"/&gt;
&lt;/p&gt;</t>
  </si>
  <si>
    <t>&lt;p&gt;
&lt;n&gt;回复：&lt;/n&gt;
 &lt;n&gt; &lt;/n&gt;&lt;goto quick="1" id="63102" mapid="1" flagpoint="1" taskid="7219"/&gt;
&lt;/p&gt;</t>
  </si>
  <si>
    <t>毛皮</t>
  </si>
  <si>
    <t>title(毛皮)
body(hotyellow_3(任务进程:)newline()
   击杀goto(15627,1)并回复goto(63102,1)。
blankline()hotyellow_3(任务描述:)newline() 
space()space()space()帝国的征募官自视甚高残暴粗鲁让人很不爽，但是为了成功参军还是先忍忍吧。)</t>
  </si>
  <si>
    <t>body(   space()space()space()就你这样还想参军？啧啧，先证明你的实力，去，将镇外那头巨熊的毛皮带回来给我看看。)</t>
  </si>
  <si>
    <t>body(   space()space()space()小子，运气不错啊。)</t>
  </si>
  <si>
    <t>怎么？难道要我亲自带你去？</t>
  </si>
  <si>
    <t>与征募官交谈。</t>
  </si>
  <si>
    <t>&lt;p&gt;
&lt;n&gt;击败&lt;/n&gt;
 &lt;n&gt; &lt;/n&gt;&lt;goto quick="1" id="15627" mapid="1" flagpoint="1" taskid="7220" /&gt;
&lt;/p&gt;</t>
  </si>
  <si>
    <t>&lt;p&gt;
&lt;n&gt;回复：&lt;/n&gt;
 &lt;n&gt; &lt;/n&gt;&lt;goto quick="1" id="63102" mapid="1" flagpoint="1" taskid="7220"/&gt;
&lt;/p&gt;</t>
  </si>
  <si>
    <t>{s_taskKillNpc, {63102,63102,15627,1}}</t>
  </si>
  <si>
    <t>翻脸</t>
  </si>
  <si>
    <t>军需官</t>
  </si>
  <si>
    <t>title(翻脸)
body(hotyellow_3(任务进程:)newline()
   去找goto(63103,1)。
blankline()hotyellow_3(任务描述:)newline() 
space()space()space()贪得无厌的军需官竟是在索要熊皮被拒绝之后收回了募兵令牌，不管怎么说先去见见军需官吧，也许帝国官员并非全部如此。)</t>
  </si>
  <si>
    <t>body(   space()space()space()拿着令牌去找军需官，他会带你去军乐城。等等，熊皮留下。不给？哼，那就自己想办法去军乐城吧。)</t>
  </si>
  <si>
    <t>body(   space()space()space()把征募官给你的令牌拿出来瞅瞅，什么？没有令牌？那就给钱吧，你应该知道这是规矩。)</t>
  </si>
  <si>
    <t>&lt;p&gt;
&lt;n&gt;找到： &lt;/n&gt;
 &lt;n&gt; &lt;/n&gt;&lt;goto quick="1" id="63102" mapid="1" flagpoint="1" taskid="7221"/&gt;
&lt;/p&gt;</t>
  </si>
  <si>
    <t>&lt;p&gt;
&lt;n&gt;回复：&lt;/n&gt;
 &lt;n&gt; &lt;/n&gt;&lt;goto quick="1" id="63103" mapid="1" flagpoint="1" taskid="7221"/&gt;
&lt;/p&gt;</t>
  </si>
  <si>
    <t>隐忍</t>
  </si>
  <si>
    <t>title(隐忍)
body(hotyellow_3(任务进程:)newline()
   去找goto(63096,1)。
blankline()hotyellow_3(任务描述:)newline() 
space()space()space()看样子军需官也不是什么好鸟，倒真是见识了什么叫做同流合污，去找找镇长吧，也许他能给予一些帮助。)</t>
  </si>
  <si>
    <t>body(   space()space()space()没钱？！没钱还想办事？滚滚滚，一边去，别耽误老子的时间。)</t>
  </si>
  <si>
    <t>body(   space()space()space()哎，殿下，您还是忍忍吧，咱现在还惹不起他们，他们的背后是庞大的帝国，不是我们能够撼动的。)</t>
  </si>
  <si>
    <t>与军需官交谈。</t>
  </si>
  <si>
    <t>&lt;p&gt;
&lt;n&gt;找到： &lt;/n&gt;
 &lt;n&gt; &lt;/n&gt;&lt;goto quick="1" id="63103" mapid="1" flagpoint="1" taskid="7222"/&gt;
&lt;/p&gt;</t>
  </si>
  <si>
    <t>&lt;p&gt;
&lt;n&gt;回复：&lt;/n&gt;
 &lt;n&gt; &lt;/n&gt;&lt;goto quick="1" id="63096" mapid="1" flagpoint="1" taskid="7222"/&gt;
&lt;/p&gt;</t>
  </si>
  <si>
    <t>{s_taskTalk,{63103,63096}}</t>
  </si>
  <si>
    <t>乘骑</t>
  </si>
  <si>
    <t>title(乘骑)
body(hotyellow_3(任务进程:)newline()
   去找goto(63096,1)。
blankline()hotyellow_3(任务描述:)newline() 
space()space()space()镇长也不敢招惹帝国的官员，看来只能再想想其他的办法了，参军之路必须走下去。)</t>
  </si>
  <si>
    <t>body(   space()space()space()只是，如果没有令牌，恐怕就算到了军乐城，也很难加入军队，此事殿下您可考虑好了？)</t>
  </si>
  <si>
    <t>body(   space()space()space()好吧，既然殿下执意要去，我也不再多说什么了，星之镇距离军乐城很是遥远，希望这匹马能够帮助殿下。)</t>
  </si>
  <si>
    <t>&lt;p&gt;
&lt;n&gt;找到： &lt;/n&gt;
 &lt;n&gt; &lt;/n&gt;&lt;goto quick="1" id="63096" mapid="1" flagpoint="1" taskid="7223"/&gt;
&lt;/p&gt;</t>
  </si>
  <si>
    <t>&lt;p&gt;
&lt;n&gt;回复：&lt;/n&gt;
 &lt;n&gt; &lt;/n&gt;&lt;goto quick="1" id="63096" mapid="1" flagpoint="1" taskid="7223"/&gt;
&lt;/p&gt;</t>
  </si>
  <si>
    <t>礼物</t>
  </si>
  <si>
    <t>title(赠送)
body(hotyellow_3(任务进程:)newline()
   去找goto(63097,1)。
blankline()hotyellow_3(任务描述:)newline() 
space()space()space()小女孩儿妈妈的病好了，这真是个难得的好消息，这件熊皮留着也没什么用，就当是离别的礼物吧。)</t>
  </si>
  <si>
    <t>body(   space()space()space()那孩子母亲的病已经好了，殿下，走之前要不要去看看？)</t>
  </si>
  <si>
    <t>body(   space()space()space()嗯嗯，妈妈的病已经好了，在家里休息呢。呀，好漂亮的熊皮，给妈妈做成衣服一定很温暖，对了，妈妈说让我把这个交给你。)</t>
  </si>
  <si>
    <t>&lt;p&gt;
&lt;n&gt;找到： &lt;/n&gt;
 &lt;n&gt; &lt;/n&gt;&lt;goto quick="1" id="63096" mapid="1" flagpoint="1" taskid="7224"/&gt;
&lt;/p&gt;</t>
  </si>
  <si>
    <t>&lt;p&gt;
&lt;n&gt;回复：&lt;/n&gt;
 &lt;n&gt; &lt;/n&gt;&lt;goto quick="1" id="63097" mapid="1" flagpoint="1" taskid="7224"/&gt;
&lt;/p&gt;</t>
  </si>
  <si>
    <t>{s_taskTalk,{63096,63097}}</t>
  </si>
  <si>
    <t>告别</t>
  </si>
  <si>
    <t>{{19100,0,1,1,"1-1,4-1"}}</t>
  </si>
  <si>
    <t>title(告别)
body(hotyellow_3(任务进程:)newline()
   去找goto(63098,1)。
blankline()hotyellow_3(任务描述:)newline() 
space()space()space()离别的气氛越染越重，不管是小女孩还是老铁匠，都似乎成了家人一般，临走之时再去拜访一下老铁匠吧。)</t>
  </si>
  <si>
    <t>body(   space()space()space()这是我妈妈亲手织的哦，呀，差点忘了，铁匠爷爷让您临走之前去找他一趟，好像有什么东西给你。)</t>
  </si>
  <si>
    <t xml:space="preserve">
body(   space()space()space()听说您要走了，俺连夜给您打造了这件东西，俺年岁大了，也不知道还能不能再见到您。)</t>
  </si>
  <si>
    <t>铁匠爷爷在等你。</t>
  </si>
  <si>
    <t>&lt;p&gt;
&lt;n&gt;找到： &lt;/n&gt;
 &lt;n&gt; &lt;/n&gt;&lt;goto quick="1" id="63097" mapid="1" flagpoint="1" taskid="7225"/&gt;
&lt;/p&gt;</t>
  </si>
  <si>
    <t>&lt;p&gt;
&lt;n&gt;回复：&lt;/n&gt;
 &lt;n&gt; &lt;/n&gt;&lt;goto quick="1" id="63098" mapid="1" flagpoint="1" taskid="7225"/&gt;
&lt;/p&gt;</t>
  </si>
  <si>
    <t>矿洞</t>
  </si>
  <si>
    <t>title(矿洞)
body(hotyellow_3(任务进程:)newline()
   去找goto(63098,1)。
blankline()hotyellow_3(任务描述:)newline() 
space()space()space()老铁匠在星之镇生活了这么多年，对于这里再熟悉不过，问问他还有没有其他通往军乐城的路。)</t>
  </si>
  <si>
    <t>body(   space()space()space()这个该死的征募官，如果没有帝国军队的引导，根本无法安全前往军乐城。)</t>
  </si>
  <si>
    <t>body(   space()space()space()等等，还有一条路。在镇子北面有一个放弃的矿洞，那里通向军乐城。只是这矿洞废弃很久了……)</t>
  </si>
  <si>
    <t>&lt;p&gt;
&lt;n&gt;找到： &lt;/n&gt;
 &lt;n&gt; &lt;/n&gt;&lt;goto quick="1" id="63098" mapid="1" flagpoint="1" taskid="7226"/&gt;
&lt;/p&gt;</t>
  </si>
  <si>
    <t>&lt;p&gt;
&lt;n&gt;回复：&lt;/n&gt;
 &lt;n&gt; &lt;/n&gt;&lt;goto quick="1" id="63098" mapid="1" flagpoint="1" taskid="7226"/&gt;
&lt;/p&gt;</t>
  </si>
  <si>
    <t>猎人</t>
  </si>
  <si>
    <t>title(猎人)
body(hotyellow_3(任务进程:)newline()
   去找goto(63101,1)。
blankline()hotyellow_3(任务描述:)newline() 
space()space()space()这位经常和老铁匠喝酒的猎人现在应该在矿洞入口附近，听说那里最近出现了一群美杜莎。)</t>
  </si>
  <si>
    <t>body(   space()space()space()那里太危险，俺认识一位猎人，他可能能够给您一些帮助，您去找他吧，他应该就在矿洞入口附近。)</t>
  </si>
  <si>
    <t>body(   space()space()space()嘿，小声点，别惊扰到我的猎物！嗯？你说你是老铁匠的朋友？哈哈，好久没有找那老家伙喝酒了。)</t>
  </si>
  <si>
    <t>听说他又去打猎了。</t>
  </si>
  <si>
    <t>&lt;p&gt;
&lt;n&gt;找到： &lt;/n&gt;
 &lt;n&gt; &lt;/n&gt;&lt;goto quick="1" id="63098" mapid="1" flagpoint="1" taskid="7227"/&gt;
&lt;/p&gt;</t>
  </si>
  <si>
    <t>&lt;p&gt;
&lt;n&gt;回复：&lt;/n&gt;
 &lt;n&gt; &lt;/n&gt;&lt;goto quick="1" id="63101" mapid="1" flagpoint="1" taskid="7227"/&gt;
&lt;/p&gt;</t>
  </si>
  <si>
    <t>清剿</t>
  </si>
  <si>
    <t>{{18100,0,1,1,"1-1,4-1"}}</t>
  </si>
  <si>
    <t>title(清剿)
body(hotyellow_3(任务进程:)newline()
   击杀goto(15619,1)并回复goto(63101,1)。
blankline()hotyellow_3(任务描述:)newline() 
space()space()space()猎人的眼中只有猎物，看来不帮他解决这群猎物，是没有办法获得进入暗影矿洞的帮助了。)</t>
  </si>
  <si>
    <t>body(   space()space()space()嘿，伙计，看到那群美杜莎了吗，它们身上可有好东西，我已经蹲守好几天了，一直无从下手，你能帮帮我吗？)</t>
  </si>
  <si>
    <t>body(   space()space()space()哈哈，不愧是老铁匠的朋友，真是太感谢了，这些你拿着，不要跟我客气。)</t>
  </si>
  <si>
    <t>没找到吗？</t>
  </si>
  <si>
    <t>与猎人交谈。</t>
  </si>
  <si>
    <t>&lt;p&gt;
&lt;n&gt;击败&lt;/n&gt;
 &lt;n&gt; &lt;/n&gt;&lt;goto quick="1" id="15619" mapid="1" flagpoint="1" taskid="7228" /&gt;
&lt;/p&gt;</t>
  </si>
  <si>
    <t>&lt;p&gt;
&lt;n&gt;回复：&lt;/n&gt;
 &lt;n&gt; &lt;/n&gt;&lt;goto quick="1" id="63101" mapid="1" flagpoint="1" taskid="7228"/&gt;
&lt;/p&gt;</t>
  </si>
  <si>
    <t>{s_taskKillNpc, {63101,63101,15619,3}}</t>
  </si>
  <si>
    <t>前往</t>
  </si>
  <si>
    <t>探险家</t>
  </si>
  <si>
    <t>title(前往)
body(hotyellow_3(任务进程:)newline()
   去找goto(63088,7)。
blankline()hotyellow_3(任务描述:)newline() 
space()space()space()暗影矿洞的危险人尽皆知，贸然去闯实在是不明智，还是先去寻找向导吧。)</t>
  </si>
  <si>
    <t>body(   space()space()space()你刚才说要去暗影矿洞？那鬼地方我可不敢陪你去，不过，我可以给你介绍一个向导，只是那家伙嗜钱如命，请他帮忙可不容易。)</t>
  </si>
  <si>
    <t>body(   space()space()space()呦呵，真稀罕啊，我可是好久都没有看到活人了。年轻人，你胆儿挺肥啊，知道这是什么地方不？)</t>
  </si>
  <si>
    <t>别忘了先找向导哦。</t>
  </si>
  <si>
    <t>&lt;p&gt;
&lt;n&gt;找到： &lt;/n&gt;
 &lt;n&gt; &lt;/n&gt;&lt;goto quick="1" id="63101" mapid="1" flagpoint="1" taskid="7229"/&gt;
&lt;/p&gt;</t>
  </si>
  <si>
    <t>&lt;p&gt;
&lt;n&gt;回复：&lt;/n&gt;
 &lt;n&gt; &lt;/n&gt;&lt;goto quick="1" id="63088" mapid="7" flagpoint="1" taskid="7229"/&gt;
&lt;/p&gt;</t>
  </si>
  <si>
    <t>坚持</t>
  </si>
  <si>
    <t>title(坚持)
body(hotyellow_3(任务进程:)newline()
   与goto(63088,7)交谈。
blankline()hotyellow_3(任务描述:)newline() 
space()space()space()这探险家说话难听，但仔细听依旧能察觉到好意，只是从军之路怎能说放弃就放弃。)</t>
  </si>
  <si>
    <t>body(   space()space()space()啥？你想活着穿过暗影矿洞？得了吧，不想死就赶紧回家洗洗睡吧，这地方可不是谁都能闯的。)</t>
  </si>
  <si>
    <t>body(   space()space()space()还站在这里干嘛？得，怕了你了。呵呵，这年头不怕死的人可真多。)</t>
  </si>
  <si>
    <t>回答罗特的问题。</t>
  </si>
  <si>
    <t>&lt;p&gt;
&lt;n&gt;找到： &lt;/n&gt;
 &lt;n&gt; &lt;/n&gt;&lt;goto quick="1" id="63088" mapid="7" flagpoint="1" taskid="7021"/&gt;
&lt;/p&gt;</t>
  </si>
  <si>
    <t>&lt;p&gt;
&lt;n&gt;回复：&lt;/n&gt;
 &lt;n&gt; &lt;/n&gt;&lt;goto quick="1" id="63088" mapid="7" flagpoint="1" taskid="7021"/&gt;
&lt;/p&gt;</t>
  </si>
  <si>
    <t>约法</t>
  </si>
  <si>
    <t>title(约法)
body(hotyellow_3(任务进程:)newline()
   去找goto(63088,7)。
blankline()hotyellow_3(任务描述:)newline() 
space()space()space()和罗特对话。)</t>
  </si>
  <si>
    <t>body(   space()space()space()我事先提醒你几句，这鬼地方邪的很，谁也不知道会发生什么，就算是有老司机指路也不能保证百分百的安全。)</t>
  </si>
  <si>
    <t>body(   space()space()space()算了，当我没说，看你这样子是吃了秤砣铁了心了。不过，世上没有免费的午餐，介绍你来找我的人应该跟你说的很清楚了吧。)</t>
  </si>
  <si>
    <t>和罗特对话。</t>
  </si>
  <si>
    <t>&lt;p&gt;
&lt;n&gt;找到： &lt;/n&gt;
 &lt;n&gt; &lt;/n&gt;&lt;goto quick="1" id="63088" mapid="7" flagpoint="1" taskid="7023"/&gt;
&lt;/p&gt;</t>
  </si>
  <si>
    <t>&lt;p&gt;
&lt;n&gt;回复：&lt;/n&gt;
 &lt;n&gt; &lt;/n&gt;&lt;goto quick="1" id="63088" mapid="7" flagpoint="1" taskid="7023"/&gt;
&lt;/p&gt;</t>
  </si>
  <si>
    <t>购买/获得物品</t>
  </si>
  <si>
    <t>升星宝石</t>
  </si>
  <si>
    <t>title(升星宝石)
body(hotyellow_3(任务进程:)newline()
   去找goto(63088,7)。
blankline()hotyellow_3(任务描述:)newline() 
space()space()space()和罗特对话。)</t>
  </si>
  <si>
    <t>body(   space()space()space()嗯，你倒是挺明事理的，这样吧，我也不难为你，我可以为你指路，但是你得帮我做一件事，在此之前我先教你一些生存技巧。)</t>
  </si>
  <si>
    <t>body(   space()space()space()是不是感觉自己变强了？乱世中真正可怕的不是险地而是战争，要想活下去，就必须让自己变强。)</t>
  </si>
  <si>
    <t>按照罗特的指导升星装备。</t>
  </si>
  <si>
    <t>&lt;p&gt;
&lt;n&gt;找到： &lt;/n&gt;
 &lt;n&gt; &lt;/n&gt;&lt;goto quick="1" id="63088" mapid="7" flagpoint="1" taskid="7024"/&gt;
&lt;/p&gt;</t>
  </si>
  <si>
    <t>&lt;p&gt;
&lt;n&gt;回复：&lt;/n&gt;
 &lt;n&gt; &lt;/n&gt;&lt;goto quick="1" id="63088" mapid="7" flagpoint="1" taskid="7024"/&gt;
&lt;/p&gt;</t>
  </si>
  <si>
    <r>
      <rPr>
        <sz val="11"/>
        <color theme="1"/>
        <rFont val="宋体"/>
        <charset val="134"/>
      </rPr>
      <t>27108</t>
    </r>
    <r>
      <rPr>
        <sz val="11"/>
        <color theme="1"/>
        <rFont val="宋体"/>
        <charset val="134"/>
      </rPr>
      <t>-0-</t>
    </r>
    <r>
      <rPr>
        <sz val="11"/>
        <color theme="1"/>
        <rFont val="宋体"/>
        <charset val="134"/>
      </rPr>
      <t>1</t>
    </r>
  </si>
  <si>
    <t>矿区哥布林</t>
  </si>
  <si>
    <t>title(矿区哥布林)
body(hotyellow_3(任务进程:)newline()
   去找goto(63088,7)。
blankline()hotyellow_3(任务描述:)newline() 
space()space()space()和罗特对话。)</t>
  </si>
  <si>
    <t>body(   space()space()space()切，先别谢我，我只是不希望你在帮我做事之前就挂掉。好了，教了你这么多，你也该帮我办事了，深入矿洞不远有一群魔化地精，帮我干掉他们。)</t>
  </si>
  <si>
    <t>body(   space()space()space()这么快就回来了？倒是我先前小瞧了你，我这一生去过无数险地，见过各色各样的人，能让我佩服的人很少，你算是一个。)</t>
  </si>
  <si>
    <t>那些弱小的家伙正好给你练手。</t>
  </si>
  <si>
    <t>去清理钻探哥布林并测试升星之后的变化。</t>
  </si>
  <si>
    <t>&lt;p&gt;
&lt;n&gt;击败&lt;/n&gt;
 &lt;n&gt; &lt;/n&gt;&lt;goto quick="1" id="15629" mapid="7" flagpoint="1" taskid="7025" /&gt;
&lt;/p&gt;</t>
  </si>
  <si>
    <t>&lt;p&gt;
&lt;n&gt;回复：&lt;/n&gt;
 &lt;n&gt; &lt;/n&gt;&lt;goto quick="1" id="63088" mapid="7" flagpoint="1" taskid="7025"/&gt;
&lt;/p&gt;</t>
  </si>
  <si>
    <t>{s_taskKillNpc, {63088,63088,15629,8}}</t>
  </si>
  <si>
    <t>坐骑进阶</t>
  </si>
  <si>
    <t>title(坐骑升阶)
body(hotyellow_3(任务进程:)newline()
   去找goto(63088,7)。
blankline()hotyellow_3(任务描述:)newline() 
space()space()space()和罗特对话。)</t>
  </si>
  <si>
    <t>body(   space()space()space()佩服归佩服，但我的规矩还是不能废了，这酬劳……得了，我看你也没什么钱，这样吧，你去矿洞中给我采集一些金矿回来，就当是我为你指路的酬劳吧。)</t>
  </si>
  <si>
    <t>body(   space()space()space()哈哈，这金矿质地不错。啧啧，钱这东西啊真是让人着迷，什么视金钱如粪土，都是在放屁。)</t>
  </si>
  <si>
    <t>&lt;p&gt;
&lt;n&gt;找到： &lt;/n&gt;
 &lt;n&gt; &lt;/n&gt;&lt;goto quick="1" id="63088" mapid="7" flagpoint="1" taskid="7026"/&gt;
&lt;/p&gt;</t>
  </si>
  <si>
    <t>&lt;p&gt;
&lt;n&gt;回复：&lt;/n&gt;
 &lt;n&gt; &lt;/n&gt;&lt;goto quick="1" id="63088" mapid="7" flagpoint="1" taskid="7026"/&gt;
&lt;/p&gt;</t>
  </si>
  <si>
    <t>骑魂残影</t>
  </si>
  <si>
    <t>title(骑魂残影)
body(hotyellow_3(任务进程:)newline()
   去找goto(63088,7)。
blankline()hotyellow_3(任务描述:)newline() 
space()space()space()和罗特对话。)</t>
  </si>
  <si>
    <t>body(   space()space()space()年轻人，你这酬劳给的是多了点，我爱钱但不爱占便宜。这样吧，我就再教你一手。)</t>
  </si>
  <si>
    <t>body(   space()space()space()可别小看了外物，它们的强大就是你自身的实力体现，要想让自己在乱世险境之中活的更久，就不要放过任何让自己变强的机会。)</t>
  </si>
  <si>
    <t>&lt;p&gt;
&lt;n&gt;找到： &lt;/n&gt;
 &lt;n&gt; &lt;/n&gt;&lt;goto quick="1" id="63088" mapid="7" flagpoint="1" taskid="7027"/&gt;
&lt;/p&gt;</t>
  </si>
  <si>
    <t>&lt;p&gt;
&lt;n&gt;回复：&lt;/n&gt;
 &lt;n&gt; &lt;/n&gt;&lt;goto quick="1" id="63088" mapid="7" flagpoint="1" taskid="7027"/&gt;
&lt;/p&gt;</t>
  </si>
  <si>
    <t>对话   剧情动画</t>
  </si>
  <si>
    <t>相助</t>
  </si>
  <si>
    <t>矿工</t>
  </si>
  <si>
    <t>title(搜集骑魂)
body(hotyellow_3(任务进程:)newline()
   去找goto(63088,7)。
blankline()hotyellow_3(任务描述:)newline() 
space()space()space()消灭哥布林，收集骑魂残影。)</t>
  </si>
  <si>
    <t>body(   space()space()space()乱世之中，弱者永远没有权力可言，甚至不能选择生死。哎，对了，前段时间进来一个矿工老头，但现在都没有出来，可能是出事儿了，你要是有闲工夫就顺道找找他吧。)</t>
  </si>
  <si>
    <t>body(   space()space()space()救，救我！)</t>
  </si>
  <si>
    <t>去哥布林身上翻找骑魂残影。</t>
  </si>
  <si>
    <t>&lt;p&gt;
&lt;n&gt;击败&lt;/n&gt;
 &lt;n&gt; &lt;/n&gt;&lt;goto quick="1" id="15630" mapid="7" flagpoint="1" taskid="7028" /&gt;
&lt;/p&gt;</t>
  </si>
  <si>
    <t>&lt;p&gt;
&lt;n&gt;回复：&lt;/n&gt;
 &lt;n&gt; &lt;/n&gt;&lt;goto quick="1" id="63089" mapid="7" flagpoint="1" taskid="7028"/&gt;
&lt;/p&gt;</t>
  </si>
  <si>
    <t>55158-0-3</t>
  </si>
  <si>
    <t>{s_taskKillNpc, {63088,63089,15630,8}}</t>
  </si>
  <si>
    <t>羽翼进阶</t>
  </si>
  <si>
    <t>title(羽翼进阶)
body(hotyellow_3(任务进程:)newline()
   去找goto(63089,7)。
blankline()hotyellow_3(任务描述:)newline() 
space()space()space()和阿黛尔对话。)</t>
  </si>
  <si>
    <t>body(   space()space()space()谢谢您，谢谢您救了我的命，我真的以为我必死无疑了。)</t>
  </si>
  <si>
    <t>body(   space()space()space()player()，是不是十分羡慕别人华丽强大的羽翼？
哈哈，其实你也可以。
不过，你得努力收集血羽毛。)</t>
  </si>
  <si>
    <t>找到阿黛尔。</t>
  </si>
  <si>
    <t>&lt;p&gt;
&lt;n&gt;找到： &lt;/n&gt;
 &lt;n&gt; &lt;/n&gt;&lt;goto quick="1" id="63089" mapid="7" flagpoint="1" taskid="7029"/&gt;
&lt;/p&gt;</t>
  </si>
  <si>
    <t>&lt;p&gt;
&lt;n&gt;回复：&lt;/n&gt;
 &lt;n&gt; &lt;/n&gt;&lt;goto quick="1" id="63089" mapid="7" flagpoint="1" taskid="7029"/&gt;
&lt;/p&gt;</t>
  </si>
  <si>
    <t>掉落</t>
  </si>
  <si>
    <t>血色羽毛</t>
  </si>
  <si>
    <t>title(血色羽毛)
body(hotyellow_3(任务进程:)newline()
   去找goto(63089,7)。
blankline()hotyellow_3(任务描述:)newline() 
space()space()space()去暗影编织者巢内搜集血色羽毛。)</t>
  </si>
  <si>
    <t>body(   space()space()space()player()，曾经有人看见过这里的暗影编织者巢内有着能够提升羽翼能力的物品。
你去试试看吧，如果你的运气够好……)</t>
  </si>
  <si>
    <t>body(   space()space()space()player()，竟然真的有？)</t>
  </si>
  <si>
    <t>这里的确是十分容易迷路。</t>
  </si>
  <si>
    <t>去暗影编织者巢穴之中搜集血色羽毛。</t>
  </si>
  <si>
    <t>&lt;p&gt;
&lt;n&gt;击败&lt;/n&gt;
 &lt;n&gt; &lt;/n&gt;&lt;goto quick="1" id="15634" mapid="7" flagpoint="1" taskid="7030" /&gt;
&lt;/p&gt;</t>
  </si>
  <si>
    <t>&lt;p&gt;
&lt;n&gt;回复：&lt;/n&gt;
 &lt;n&gt; &lt;/n&gt;&lt;goto quick="1" id="63089" mapid="7" flagpoint="1" taskid="7030"/&gt;
&lt;/p&gt;</t>
  </si>
  <si>
    <t>{s_taskKillNpc, {63089,63089,15634,8}}</t>
  </si>
  <si>
    <t>宠物进阶</t>
  </si>
  <si>
    <t>title(宠物进阶)
body(hotyellow_3(任务进程:)newline()
   去找goto(63089,7)。
blankline()hotyellow_3(任务描述:)newline() 
space()space()space()和阿黛尔对话。)</t>
  </si>
  <si>
    <t>body(   space()space()space()player()，你可不能忘了一直陪伴在你身边的这个小家伙。它也需要成长和变强。)</t>
  </si>
  <si>
    <t>body(   space()space()space()player()，不过除了陪伴着你锻炼、冒险之外，还有着别的方法能够提升宠物的实力。)</t>
  </si>
  <si>
    <t>和阿黛尔交谈。</t>
  </si>
  <si>
    <t>&lt;p&gt;
&lt;n&gt;找到： &lt;/n&gt;
 &lt;n&gt; &lt;/n&gt;&lt;goto quick="1" id="63089" mapid="7" flagpoint="1" taskid="7031"/&gt;
&lt;/p&gt;</t>
  </si>
  <si>
    <t>&lt;p&gt;
&lt;n&gt;回复：&lt;/n&gt;
 &lt;n&gt; &lt;/n&gt;&lt;goto quick="1" id="63089" mapid="7" flagpoint="1" taskid="7031"/&gt;
&lt;/p&gt;</t>
  </si>
  <si>
    <t>魔法货币</t>
  </si>
  <si>
    <t>{{55152,10,1,0,"1-1"}}</t>
  </si>
  <si>
    <t>title(魔法货币)
body(hotyellow_3(任务进程:)newline()
   去找goto(63089,7)。
blankline()hotyellow_3(任务描述:)newline() 
space()space()space()和阿黛尔对话。)</t>
  </si>
  <si>
    <t>body(   space()space()space()player()，只要你去消灭掉一些熔岩软泥怪，我这里的魔法币就可以送你。)</t>
  </si>
  <si>
    <t>body(   space()space()space()player()，干的不错，这些魔法币是你的了。)</t>
  </si>
  <si>
    <t>消灭熔岩软泥怪。</t>
  </si>
  <si>
    <t>&lt;p&gt;
&lt;n&gt;击败&lt;/n&gt;
 &lt;n&gt; &lt;/n&gt;&lt;goto quick="1" id="15635" mapid="7" flagpoint="1" taskid="7032" /&gt;
&lt;/p&gt;</t>
  </si>
  <si>
    <t>&lt;p&gt;
&lt;n&gt;回复：&lt;/n&gt;
 &lt;n&gt; &lt;/n&gt;&lt;goto quick="1" id="63089" mapid="7" flagpoint="1" taskid="7032"/&gt;
&lt;/p&gt;</t>
  </si>
  <si>
    <t>{s_taskKillNpc, {63089,63089,15635,10}}</t>
  </si>
  <si>
    <t>宠物扭蛋</t>
  </si>
  <si>
    <t>title(宠物扭蛋)
body(hotyellow_3(任务进程:)newline()
   去找goto(63089,7)。
blankline()hotyellow_3(任务描述:)newline() 
space()space()space()和阿黛尔对话。)</t>
  </si>
  <si>
    <t>body(   space()space()space()player()，嘿！魔法币可不是让你放在背包收藏用的，你可以用它召唤到新的、更强大的宠物——你试试看点击宠物面板中的“扭蛋”按钮。)</t>
  </si>
  <si>
    <t>body(   space()space()space()player()，就是这样，以后你收集到更多的魔法币之后就能召唤出更多的宠物来。)</t>
  </si>
  <si>
    <t>按照阿黛尔的指导尝试宠物扭蛋。</t>
  </si>
  <si>
    <t>&lt;p&gt;
&lt;n&gt;找到： &lt;/n&gt;
 &lt;n&gt; &lt;/n&gt;&lt;goto quick="1" id="63089" mapid="7" flagpoint="1" taskid="7033"/&gt;
&lt;/p&gt;</t>
  </si>
  <si>
    <t>&lt;p&gt;
&lt;n&gt;回复：&lt;/n&gt;
 &lt;n&gt; &lt;/n&gt;&lt;goto quick="1" id="63089" mapid="7" flagpoint="1" taskid="7033"/&gt;
&lt;/p&gt;</t>
  </si>
  <si>
    <t>阻塞的走廊</t>
  </si>
  <si>
    <t>title(阻塞的走廊)
body(hotyellow_3(任务进程:)newline()
   去找goto(63089,7)。
blankline()hotyellow_3(任务描述:)newline() 
space()space()space()清理前路。)</t>
  </si>
  <si>
    <t>body(   space()space()space()player()，真是头疼，刚刚有人来说汤姆家的小子走失了。你能帮我去找找他吗？
不过在那之前，我觉得你先把附近的暗影游荡者清理干净比较好。)</t>
  </si>
  <si>
    <t>body(   space()space()space()player()，干得不赖。)</t>
  </si>
  <si>
    <t>这就不行了？
好吧，我允许你休息两分钟。</t>
  </si>
  <si>
    <t>清理阻塞的走廊。</t>
  </si>
  <si>
    <t>&lt;p&gt;
&lt;n&gt;击败&lt;/n&gt;
 &lt;n&gt; &lt;/n&gt;&lt;goto quick="1" id="15633" mapid="7" flagpoint="1" taskid="7034" /&gt;
&lt;/p&gt;</t>
  </si>
  <si>
    <t>&lt;p&gt;
&lt;n&gt;回复：&lt;/n&gt;
 &lt;n&gt; &lt;/n&gt;&lt;goto quick="1" id="63089" mapid="7" flagpoint="1" taskid="7034"/&gt;
&lt;/p&gt;</t>
  </si>
  <si>
    <t>{s_taskKillNpc, {63089,63089,15633,10}}</t>
  </si>
  <si>
    <t>走失的孩子</t>
  </si>
  <si>
    <t>落难军官</t>
  </si>
  <si>
    <t>title(走失的孩子)
body(hotyellow_3(任务进程:)newline()
   去找goto(63090,7)。
blankline()hotyellow_3(任务描述:)newline() 
space()space()space()找到卡卡。)</t>
  </si>
  <si>
    <t>body(   space()space()space()player()，现在你可以出发了，记得那个孩子叫卡卡。)</t>
  </si>
  <si>
    <t>body(   space()space()space()player()，虫、虫！好多虫子啊！！！)</t>
  </si>
  <si>
    <t>没有找到那个孩子吗？</t>
  </si>
  <si>
    <t>找到走失的卡卡。</t>
  </si>
  <si>
    <t>&lt;p&gt;
&lt;n&gt;找到： &lt;/n&gt;
 &lt;n&gt; &lt;/n&gt;&lt;goto quick="1" id="63090" mapid="7" flagpoint="1" taskid="7035"/&gt;
&lt;/p&gt;</t>
  </si>
  <si>
    <t>&lt;p&gt;
&lt;n&gt;回复：&lt;/n&gt;
 &lt;n&gt; &lt;/n&gt;&lt;goto quick="1" id="63090" mapid="7" flagpoint="1" taskid="7035"/&gt;
&lt;/p&gt;</t>
  </si>
  <si>
    <t>暗影狩猎者</t>
  </si>
  <si>
    <t>title(卡卡)
body(hotyellow_3(任务进程:)newline()
   去找goto(63090,7)。
blankline()hotyellow_3(任务描述:)newline() 
space()space()space()和卡卡对话。)</t>
  </si>
  <si>
    <t>body(   space()space()space()player()，别靠近我！
你们这些恶心的家伙！~
谁、谁能来救救我！)</t>
  </si>
  <si>
    <t>body(   space()space()space()player()，好厉害！)</t>
  </si>
  <si>
    <t>啊~~~~~~~~~~~~~~~~~</t>
  </si>
  <si>
    <t>清理卡卡身边的虫子。</t>
  </si>
  <si>
    <t>&lt;p&gt;
&lt;n&gt;击败&lt;/n&gt;
 &lt;n&gt; &lt;/n&gt;&lt;goto quick="1" id="15623" mapid="7" flagpoint="1" taskid="7036" /&gt;
&lt;/p&gt;</t>
  </si>
  <si>
    <t>&lt;p&gt;
&lt;n&gt;回复：&lt;/n&gt;
 &lt;n&gt; &lt;/n&gt;&lt;goto quick="1" id="63090" mapid="7" flagpoint="1" taskid="7036"/&gt;
&lt;/p&gt;</t>
  </si>
  <si>
    <t>{s_taskKillNpc, {63090,63090,15623,10}}</t>
  </si>
  <si>
    <t>卡卡</t>
  </si>
  <si>
    <t>body(   space()space()space()player()，谢谢你，你救了我的命！
这里真是太可怕了，以后我一定不再乱跑了！)</t>
  </si>
  <si>
    <t>body(   space()space()space()player()，你是外面来的吗？
一定很强！)</t>
  </si>
  <si>
    <t>和卡卡交谈。</t>
  </si>
  <si>
    <t>&lt;p&gt;
&lt;n&gt;找到： &lt;/n&gt;
 &lt;n&gt; &lt;/n&gt;&lt;goto quick="1" id="63090" mapid="7" flagpoint="1" taskid="7037"/&gt;
&lt;/p&gt;</t>
  </si>
  <si>
    <t>&lt;p&gt;
&lt;n&gt;回复：&lt;/n&gt;
 &lt;n&gt; &lt;/n&gt;&lt;goto quick="1" id="63090" mapid="7" flagpoint="1" taskid="7037"/&gt;
&lt;/p&gt;</t>
  </si>
  <si>
    <t>MK-2</t>
  </si>
  <si>
    <t>title(MK-2)
body(hotyellow_3(任务进程:)newline()
   去找goto(63090,7)。
blankline()hotyellow_3(任务描述:)newline() 
space()space()space()和卡卡对话。)</t>
  </si>
  <si>
    <t>body(   space()space()space()player()，我偷偷看到前面有一个暴躁的大家伙！如果不阻止它，一定会把这里的采矿设备破坏殆尽的！)</t>
  </si>
  <si>
    <t>body(   space()space()space()player()，您真是我们的英雄！
整个矿区都被你拯救了！)</t>
  </si>
  <si>
    <t>就在前面，你看到了吗？</t>
  </si>
  <si>
    <t>消灭暴躁的MK-2.</t>
  </si>
  <si>
    <t>&lt;p&gt;
&lt;n&gt;击败&lt;/n&gt;
 &lt;n&gt; &lt;/n&gt;&lt;goto quick="1" id="15631" mapid="7" flagpoint="1" taskid="7038" /&gt;
&lt;/p&gt;</t>
  </si>
  <si>
    <t>&lt;p&gt;
&lt;n&gt;回复：&lt;/n&gt;
 &lt;n&gt; &lt;/n&gt;&lt;goto quick="1" id="63090" mapid="7" flagpoint="1" taskid="7038"/&gt;
&lt;/p&gt;</t>
  </si>
  <si>
    <t>{s_taskKillNpc, {63090,63090,15631,1}}</t>
  </si>
  <si>
    <t>源头</t>
  </si>
  <si>
    <t>title(源头)
body(hotyellow_3(任务进程:)newline()
   去找goto(63090,7)。
blankline()hotyellow_3(任务描述:)newline() 
space()space()space()找到卡卡。)</t>
  </si>
  <si>
    <t>body(   space()space()space()player()，我想，也许我们矿区的骚乱就和这个大家伙有关。)</t>
  </si>
  <si>
    <t>body(   space()space()space()player()，对了，你过来的时候有见过我的父亲吗？
他叫罗特。)</t>
  </si>
  <si>
    <t>&lt;p&gt;
&lt;n&gt;找到： &lt;/n&gt;
 &lt;n&gt; &lt;/n&gt;&lt;goto quick="1" id="63090" mapid="7" flagpoint="1" taskid="7039"/&gt;
&lt;/p&gt;</t>
  </si>
  <si>
    <t>&lt;p&gt;
&lt;n&gt;回复：&lt;/n&gt;
 &lt;n&gt; &lt;/n&gt;&lt;goto quick="1" id="63090" mapid="7" flagpoint="1" taskid="7039"/&gt;
&lt;/p&gt;</t>
  </si>
  <si>
    <t>道具使用</t>
  </si>
  <si>
    <t>发现</t>
  </si>
  <si>
    <t>title(发现)
body(hotyellow_3(任务进程:)newline()
   去找goto(63090,7)。
blankline()hotyellow_3(任务描述:)newline() 
space()space()space()找到卡卡。)</t>
  </si>
  <si>
    <t>body(   space()space()space()player()，他曾经给过我一棵火焰草，说是它能够测量出能量是否平静与狂乱。
你拿着它，去里面测量一下吧，我的小身板实在是不敢进去。)</t>
  </si>
  <si>
    <t>body(   space()space()space()player()，让我来看看它的样子……果然！一切的源头都是因为这个狂躁的大家伙！)</t>
  </si>
  <si>
    <t>什么也没有找到吗？</t>
  </si>
  <si>
    <t>&lt;p&gt;
&lt;n&gt;  去&lt;/n&gt;
 &lt;goto pos="142,99" mapid="7"  flagpoint="1" /&gt;
&lt;n&gt;用火焰草来测试能量强度&lt;/n&gt;
&lt;newline/&gt;
&lt;n&gt;  （点击背包中的火焰草）&lt;/n&gt;
&lt;/p&gt;</t>
  </si>
  <si>
    <t>&lt;p&gt;
&lt;n&gt;回复：&lt;/n&gt;
 &lt;n&gt; &lt;/n&gt;&lt;goto quick="1" id="63090" mapid="7" flagpoint="1" taskid="7040"/&gt;
&lt;/p&gt;</t>
  </si>
  <si>
    <t>征程</t>
  </si>
  <si>
    <t>大议长</t>
  </si>
  <si>
    <t>title(征程)
body(hotyellow_3(任务进程:)newline()
   去找goto(63073,5)。
blankline()hotyellow_3(任务描述:)newline() 
space()space()space()找到大议长。)</t>
  </si>
  <si>
    <t>body(   space()space()space()player()，你就要离开这儿了吗？军乐城是个好地方，以后我会去找你的~)</t>
  </si>
  <si>
    <t>body(   space()space()space()player()，欢迎来到军乐城，年轻的强者！)</t>
  </si>
  <si>
    <t>找到军乐城的大议长。</t>
  </si>
  <si>
    <t>&lt;p&gt;
&lt;n&gt;找到： &lt;/n&gt;
 &lt;n&gt; &lt;/n&gt;&lt;goto quick="1" id="63073" mapid="5" flagpoint="1" taskid="7041"/&gt;
&lt;/p&gt;</t>
  </si>
  <si>
    <t>&lt;p&gt;
&lt;n&gt;回复：&lt;/n&gt;
 &lt;n&gt; &lt;/n&gt;&lt;goto quick="1" id="63073" mapid="5" flagpoint="1" taskid="7041"/&gt;
&lt;/p&gt;</t>
  </si>
  <si>
    <t>守备司令</t>
  </si>
  <si>
    <t>title(守备司令)
body(hotyellow_3(任务进程:)newline()
   去找goto(63074,5)。
blankline()hotyellow_3(任务描述:)newline() 
space()space()space()和守备司令对话。)</t>
  </si>
  <si>
    <t>body(   哈，如此年轻的强者。我想你应该先去守备司令那儿报道，他正缺人呢。)</t>
  </si>
  <si>
    <t>body(   唔。。。。城外的魔物繁衍的越来越快了。)</t>
  </si>
  <si>
    <t>找到军乐城的守备司令。</t>
  </si>
  <si>
    <t>&lt;p&gt;
&lt;n&gt;找到： &lt;/n&gt;
 &lt;n&gt; &lt;/n&gt;&lt;goto quick="1" id="63074" mapid="5" flagpoint="1" taskid="7073"/&gt;
&lt;/p&gt;</t>
  </si>
  <si>
    <t>&lt;p&gt;
&lt;n&gt;回复：&lt;/n&gt;
 &lt;n&gt; &lt;/n&gt;&lt;goto quick="1" id="63074" mapid="5" flagpoint="1" taskid="7073"/&gt;
&lt;/p&gt;</t>
  </si>
  <si>
    <t>镇压叛乱</t>
  </si>
  <si>
    <t>title(镇压叛乱)
body(hotyellow_3(任务进程:)newline()
   去找goto(63074,5)。
blankline()hotyellow_3(任务描述:)newline() 
space()space()space()帮助守备司令镇压叛乱。)</t>
  </si>
  <si>
    <t>body(  正好，城外有一些叛乱的侍卫，你去镇压一下吧，让我看看你的实力。)</t>
  </si>
  <si>
    <t>body(   干的不错。)</t>
  </si>
  <si>
    <t>镇压叛乱的军乐城侍卫。</t>
  </si>
  <si>
    <t>&lt;p&gt;
&lt;n&gt;击败&lt;/n&gt;
 &lt;n&gt; &lt;/n&gt;&lt;goto quick="1" id="15612" mapid="5" flagpoint="1" taskid="7099" /&gt;
&lt;/p&gt;</t>
  </si>
  <si>
    <t>&lt;p&gt;
&lt;n&gt;回复：&lt;/n&gt;
 &lt;n&gt; &lt;/n&gt;&lt;goto quick="1" id="63074" mapid="5" flagpoint="1" taskid="7099"/&gt;
&lt;/p&gt;</t>
  </si>
  <si>
    <t>{s_taskKillNpc, {63074,63074,15612,8}}</t>
  </si>
  <si>
    <t>清剿盗贼</t>
  </si>
  <si>
    <t>title(清剿盗贼)
body(hotyellow_3(任务进程:)newline()
   去找goto(63074,5)。
blankline()hotyellow_3(任务描述:)newline() 
space()space()space()帮助守备司令清剿盗贼。)</t>
  </si>
  <si>
    <t>body(  再去清剿一部分盗贼吧。)</t>
  </si>
  <si>
    <t>body(   很少有你这么强力的新人了。)</t>
  </si>
  <si>
    <t>清剿盗贼。</t>
  </si>
  <si>
    <t>&lt;p&gt;
&lt;n&gt;击败&lt;/n&gt;
 &lt;n&gt; &lt;/n&gt;&lt;goto quick="1" id="15613" mapid="5" flagpoint="1" taskid="7098" /&gt;
&lt;/p&gt;</t>
  </si>
  <si>
    <t>&lt;p&gt;
&lt;n&gt;回复：&lt;/n&gt;
 &lt;n&gt; &lt;/n&gt;&lt;goto quick="1" id="63074" mapid="5" flagpoint="1" taskid="7098"/&gt;
&lt;/p&gt;</t>
  </si>
  <si>
    <t>{s_taskKillNpc, {63074,63074,15613,8}}</t>
  </si>
  <si>
    <t>光明圣女</t>
  </si>
  <si>
    <t>圣女</t>
  </si>
  <si>
    <t>title(光明圣女)
body(hotyellow_3(任务进程:)newline()
   去找goto(63075,5)。
blankline()hotyellow_3(任务描述:)newline() 
space()space()space()和圣女对话。)</t>
  </si>
  <si>
    <t>body(   看起来体格不错，不过灵魂方面是否纯净还得通过圣女的检测。)</t>
  </si>
  <si>
    <t>body(   愿光明永照大地。)</t>
  </si>
  <si>
    <t>和圣女交谈。</t>
  </si>
  <si>
    <t>&lt;p&gt;
&lt;n&gt;找到： &lt;/n&gt;
 &lt;n&gt; &lt;/n&gt;&lt;goto quick="1" id="63075" mapid="5" flagpoint="1" taskid="7074"/&gt;
&lt;/p&gt;</t>
  </si>
  <si>
    <t>&lt;p&gt;
&lt;n&gt;回复：&lt;/n&gt;
 &lt;n&gt; &lt;/n&gt;&lt;goto quick="1" id="63075" mapid="5" flagpoint="1" taskid="7074"/&gt;
&lt;/p&gt;</t>
  </si>
  <si>
    <t>圣女之叹</t>
  </si>
  <si>
    <t>title(圣女之叹)
body(hotyellow_3(任务进程:)newline()
   去找goto(63075,5)。
blankline()hotyellow_3(任务描述:)newline() 
space()space()space()和圣女对话。)</t>
  </si>
  <si>
    <t>body(   好纯净的灵魂……年轻的强者你是来加入我们光明城的吗？)</t>
  </si>
  <si>
    <t>body(   呼……我隐约能够看到未来，你的崛起无可阻挡。)</t>
  </si>
  <si>
    <t>&lt;p&gt;
&lt;n&gt;找到： &lt;/n&gt;
 &lt;n&gt; &lt;/n&gt;&lt;goto quick="1" id="63075" mapid="5" flagpoint="1" taskid="7075"/&gt;
&lt;/p&gt;</t>
  </si>
  <si>
    <t>&lt;p&gt;
&lt;n&gt;回复：&lt;/n&gt;
 &lt;n&gt; &lt;/n&gt;&lt;goto quick="1" id="63075" mapid="5" flagpoint="1" taskid="7075"/&gt;
&lt;/p&gt;</t>
  </si>
  <si>
    <t>军乐之乱</t>
  </si>
  <si>
    <t>title(军乐之乱)
body(hotyellow_3(任务进程:)newline()
   去找goto(63075,5)。
blankline()hotyellow_3(任务描述:)newline() 
space()space()space()清剿强盗。)</t>
  </si>
  <si>
    <t>body(   去消灭那些强盗吧，展现你的力量！)</t>
  </si>
  <si>
    <t>body(   果然……)</t>
  </si>
  <si>
    <t>清剿强盗。</t>
  </si>
  <si>
    <t>&lt;p&gt;
&lt;n&gt;击败&lt;/n&gt;
 &lt;n&gt; &lt;/n&gt;&lt;goto quick="1" id="15614" mapid="5" flagpoint="1" taskid="7097" /&gt;
&lt;/p&gt;</t>
  </si>
  <si>
    <t>&lt;p&gt;
&lt;n&gt;回复：&lt;/n&gt;
 &lt;n&gt; &lt;/n&gt;&lt;goto quick="1" id="63075" mapid="5" flagpoint="1" taskid="7097"/&gt;
&lt;/p&gt;</t>
  </si>
  <si>
    <t>{s_taskKillNpc, {63075,63075,15614,8}}</t>
  </si>
  <si>
    <t>闺蜜</t>
  </si>
  <si>
    <t>莉莉丝</t>
  </si>
  <si>
    <t>title(闺蜜)
body(hotyellow_3(任务进程:)newline()
   去找goto(63075,5)。
blankline()hotyellow_3(任务描述:)newline() 
space()space()space()找到圣女的好友莉莉丝。)</t>
  </si>
  <si>
    <t>body(   你能去帮助一下我的好姐们莉莉丝吗？她那儿现在急缺人手！)</t>
  </si>
  <si>
    <t>body(   这个鬼地方是怎么回事，到处是魔物！)</t>
  </si>
  <si>
    <t>找到莉莉丝。</t>
  </si>
  <si>
    <t>&lt;p&gt;
&lt;n&gt;找到： &lt;/n&gt;
 &lt;n&gt; &lt;/n&gt;&lt;goto quick="1" id="63056" mapid="6" flagpoint="1" taskid="7096"/&gt;
&lt;/p&gt;</t>
  </si>
  <si>
    <t>&lt;p&gt;
&lt;n&gt;回复：&lt;/n&gt;
 &lt;n&gt; &lt;/n&gt;&lt;goto quick="1" id="63056" mapid="6" flagpoint="1" taskid="7096"/&gt;
&lt;/p&gt;</t>
  </si>
  <si>
    <t>title(莉莉丝)
body(hotyellow_3(任务进程:)newline()
   去找goto(63056,6)。
blankline()hotyellow_3(任务描述:)newline() 
space()space()space()帮助莉莉丝消灭曼德拉草。)</t>
  </si>
  <si>
    <t>body(  space()space()space()player()，周围有着讨厌的曼德拉草会骚扰我们，看你这么强壮，能帮我去消灭掉它们吗？)</t>
  </si>
  <si>
    <t>body(   space()space()space()player()，圣女姐姐没有看错，你真是个厉害的家伙！)</t>
  </si>
  <si>
    <t>消灭曼德拉草。</t>
  </si>
  <si>
    <t>&lt;p&gt;
&lt;n&gt;击败&lt;/n&gt;
 &lt;n&gt; &lt;/n&gt;&lt;goto quick="1" id="15595" mapid="6" flagpoint="1" taskid="7042" /&gt;
&lt;/p&gt;</t>
  </si>
  <si>
    <t>&lt;p&gt;
&lt;n&gt;回复：&lt;/n&gt;
 &lt;n&gt; &lt;/n&gt;&lt;goto quick="1" id="63056" mapid="6" flagpoint="1" taskid="7042"/&gt;
&lt;/p&gt;</t>
  </si>
  <si>
    <t>{s_taskKillNpc, {63056,63056,15595,8}}</t>
  </si>
  <si>
    <t>野狼</t>
  </si>
  <si>
    <t>title(野狼)
body(hotyellow_3(任务进程:)newline()
   去找goto(63056,6)。
blankline()hotyellow_3(任务描述:)newline() 
space()space()space()帮助莉莉丝消灭野狼。)</t>
  </si>
  <si>
    <t>body(  space()space()space()player()，那么，你能不能再顺手去驱赶走一群凶恶的野狼呢……)</t>
  </si>
  <si>
    <t>body(   space()space()space()player()，看来，你有着很不凡的过去！)</t>
  </si>
  <si>
    <t>帮助莉莉丝消灭野狼。</t>
  </si>
  <si>
    <t>&lt;p&gt;
&lt;n&gt;击败&lt;/n&gt;
 &lt;n&gt; &lt;/n&gt;&lt;goto quick="1" id="15596" mapid="6" flagpoint="1" taskid="7043" /&gt;
&lt;/p&gt;</t>
  </si>
  <si>
    <t>&lt;p&gt;
&lt;n&gt;回复：&lt;/n&gt;
 &lt;n&gt; &lt;/n&gt;&lt;goto quick="1" id="63056" mapid="6" flagpoint="1" taskid="7043"/&gt;
&lt;/p&gt;</t>
  </si>
  <si>
    <t>{s_taskKillNpc, {63056,63056,15596,8}}</t>
  </si>
  <si>
    <t>巡逻队长</t>
  </si>
  <si>
    <t>title(巡逻队长)
body(hotyellow_3(任务进程:)newline()
   去找goto(63055,6)。
blankline()hotyellow_3(任务描述:)newline() 
space()space()space()莉莉丝介绍你去找巡逻队长。)</t>
  </si>
  <si>
    <t>body(  space()space()space()player()，光明城？那你去问一下巡逻队长吧。)</t>
  </si>
  <si>
    <t>body(   space()space()space()player()，你好，年轻的陌生人。)</t>
  </si>
  <si>
    <t>寻找巡逻队长。</t>
  </si>
  <si>
    <t>&lt;p&gt;
&lt;n&gt;找到： &lt;/n&gt;
 &lt;n&gt; &lt;/n&gt;&lt;goto quick="1" id="63055" mapid="6" flagpoint="1" taskid="7044"/&gt;
&lt;/p&gt;</t>
  </si>
  <si>
    <t>&lt;p&gt;
&lt;n&gt;回复：&lt;/n&gt;
 &lt;n&gt; &lt;/n&gt;&lt;goto quick="1" id="63055" mapid="6" flagpoint="1" taskid="7044"/&gt;
&lt;/p&gt;</t>
  </si>
  <si>
    <t>失落的信件</t>
  </si>
  <si>
    <t>title(失落的信件)
body(hotyellow_3(任务进程:)newline()
  从松背兽goto(15597,6)那找到hot(信件)，并将获取的hot(信件)交给goto(63055,6)。
blankline()
   你接受了来自巡逻队长的委托，找回丢失的信件。)</t>
  </si>
  <si>
    <t>body(  space()space()space()player()，从那些讨厌的松背兽那儿找回我丢失的信件吧。)</t>
  </si>
  <si>
    <t>body(   space()space()space()player()，很好，惊人的实力。)</t>
  </si>
  <si>
    <t>帮助巡逻队长找回丢失的信件。</t>
  </si>
  <si>
    <t>&lt;p&gt;
&lt;n&gt;  获得&lt;/n&gt;
 &lt;n&gt; &lt;/n&gt;&lt;goto quick="1" id="15597" mapid="6" flagpoint="1" taskid="7045" /&gt;
&lt;n&gt;偷走的信件&lt;/n&gt;
&lt;/p&gt;</t>
  </si>
  <si>
    <t>&lt;p&gt;
&lt;n&gt;回复：&lt;/n&gt;
 &lt;n&gt; &lt;/n&gt;&lt;goto quick="1" id="63055" mapid="6" flagpoint="1" taskid="7045"/&gt;
&lt;/p&gt;</t>
  </si>
  <si>
    <t>31907-0-1</t>
  </si>
  <si>
    <t>送信</t>
  </si>
  <si>
    <t>老友</t>
  </si>
  <si>
    <t>{{31907,2,1,0,"1-1"}}</t>
  </si>
  <si>
    <t>title(老友)
body(hotyellow_3(任务进程:)newline()
   去找goto(63074,5)。
blankline()hotyellow_3(任务描述:)newline() 
space()space()space()把巡逻队长的信件带给他的老友——守备队长。)</t>
  </si>
  <si>
    <t>body(  space()space()space()player()，顺着这条路走就能找到光明城。这是我给老友的一封信，你离开这儿之后帮我带给他吧。)</t>
  </si>
  <si>
    <t>body(   space()space()space()player()，你好啊，远方来的旅者。)</t>
  </si>
  <si>
    <t>帮助巡逻队长把信件带给他的老友。</t>
  </si>
  <si>
    <t>&lt;p&gt;
&lt;n&gt;将巡逻队长的信交给&lt;/n&gt;
 &lt;n&gt; &lt;/n&gt;&lt;goto quick="1" id="63074" mapid="5" flagpoint="1" taskid="7046" /&gt;
&lt;/p&gt;</t>
  </si>
  <si>
    <t>光明之地</t>
  </si>
  <si>
    <t>地狱咆哮</t>
  </si>
  <si>
    <t>title(老友)
body(hotyellow_3(任务进程:)newline()
   去找goto(63061,4)。
blankline()hotyellow_3(任务描述:)newline() 
space()space()space()把巡逻队长的信件带给他的老友——地狱咆哮。)</t>
  </si>
  <si>
    <t>body(  space()space()space()player()，谢谢你的帮助，我真是很久没有见过鲁尔了。什么，你想去光明城？顺着这边一直走就行。)</t>
  </si>
  <si>
    <t>body(   space()space()space()player()，孱弱的爬虫。)</t>
  </si>
  <si>
    <t>前往光明城。</t>
  </si>
  <si>
    <t>&lt;p&gt;
&lt;n&gt;找到： &lt;/n&gt;
 &lt;n&gt; &lt;/n&gt;&lt;goto quick="1" id="63061" mapid="4" flagpoint="1" taskid="7095"/&gt;
&lt;/p&gt;</t>
  </si>
  <si>
    <t>&lt;p&gt;
&lt;n&gt;回复：&lt;/n&gt;
 &lt;n&gt; &lt;/n&gt;&lt;goto quick="1" id="63061" mapid="4" flagpoint="1" taskid="7095"/&gt;
&lt;/p&gt;</t>
  </si>
  <si>
    <t>title(地狱咆哮)
body(hotyellow_3(任务进程:)newline()
   去找goto(63061,4)。
blankline()hotyellow_3(任务描述:)newline() 
space()space()space()和地狱咆哮对话。)</t>
  </si>
  <si>
    <t>body(   想要加入光明城的新人么？)</t>
  </si>
  <si>
    <t>body( 想要加入光明城可不是一件简单的事。)</t>
  </si>
  <si>
    <t>进入光明城。</t>
  </si>
  <si>
    <t>&lt;p&gt;
&lt;n&gt;找到： &lt;/n&gt;
 &lt;n&gt; &lt;/n&gt;&lt;goto quick="1" id="63061" mapid="4" flagpoint="1" taskid="7066"/&gt;
&lt;/p&gt;</t>
  </si>
  <si>
    <t>&lt;p&gt;
&lt;n&gt;回复：&lt;/n&gt;
 &lt;n&gt; &lt;/n&gt;&lt;goto quick="1" id="63061" mapid="4" flagpoint="1" taskid="7066"/&gt;
&lt;/p&gt;</t>
  </si>
  <si>
    <t>光明下的阴影</t>
  </si>
  <si>
    <t>title(光明下的阴影)
body(hotyellow_3(任务进程:)newline()
   去找goto(63061,4)。
blankline()hotyellow_3(任务描述:)newline() 
space()space()space()消灭暗影巫师。)</t>
  </si>
  <si>
    <t>body(   去消灭三只暗影巫师来证明自己吧。)</t>
  </si>
  <si>
    <t>body( 不错的实力。)</t>
  </si>
  <si>
    <t>消灭暗影巫师。</t>
  </si>
  <si>
    <t>&lt;p&gt;
&lt;n&gt;击败&lt;/n&gt;
 &lt;n&gt; &lt;/n&gt;&lt;goto quick="1" id="15605" mapid="4" flagpoint="1" taskid="7067" /&gt;
&lt;/p&gt;</t>
  </si>
  <si>
    <t>&lt;p&gt;
&lt;n&gt;回复：&lt;/n&gt;
 &lt;n&gt; &lt;/n&gt;&lt;goto quick="1" id="63061" mapid="4" flagpoint="1" taskid="7067"/&gt;
&lt;/p&gt;</t>
  </si>
  <si>
    <t>{s_taskKillNpc, {63061,63061,15605,10}}</t>
  </si>
  <si>
    <t>佣兵</t>
  </si>
  <si>
    <t>佣兵队队长</t>
  </si>
  <si>
    <t>title(佣兵)
body(hotyellow_3(任务进程:)newline()
   去找goto(63072,4)。
blankline()hotyellow_3(任务描述:)newline() 
space()space()space()和佣兵对话。)</t>
  </si>
  <si>
    <t>body(   想要尽快的融入这里，我想加入一个佣兵队是个好办法。)</t>
  </si>
  <si>
    <t>body( 哎。。。。)</t>
  </si>
  <si>
    <t>和佣兵对话。</t>
  </si>
  <si>
    <t>&lt;p&gt;
&lt;n&gt;找到： &lt;/n&gt;
 &lt;n&gt; &lt;/n&gt;&lt;goto quick="1" id="63072" mapid="4" flagpoint="1" taskid="7068"/&gt;
&lt;/p&gt;</t>
  </si>
  <si>
    <t>&lt;p&gt;
&lt;n&gt;回复：&lt;/n&gt;
 &lt;n&gt; &lt;/n&gt;&lt;goto quick="1" id="63072" mapid="4" flagpoint="1" taskid="7068"/&gt;
&lt;/p&gt;</t>
  </si>
  <si>
    <t>佣兵伙伴</t>
  </si>
  <si>
    <t>title(佣兵伙伴)
body(hotyellow_3(任务进程:)newline()
   去找goto(63072,4)。
blankline()hotyellow_3(任务描述:)newline() 
space()space()space()和佣兵对话。)</t>
  </si>
  <si>
    <t>body(   我们队伍最好的伙伴——药农生病了。)</t>
  </si>
  <si>
    <t>body(   他什么东西也吃不下，到底会是什么原因呢。。。。)</t>
  </si>
  <si>
    <t>&lt;p&gt;
&lt;n&gt;找到： &lt;/n&gt;
 &lt;n&gt; &lt;/n&gt;&lt;goto quick="1" id="63072" mapid="4" flagpoint="1" taskid="7069"/&gt;
&lt;/p&gt;</t>
  </si>
  <si>
    <t>&lt;p&gt;
&lt;n&gt;回复：&lt;/n&gt;
 &lt;n&gt; &lt;/n&gt;&lt;goto quick="1" id="63072" mapid="4" flagpoint="1" taskid="7069"/&gt;
&lt;/p&gt;</t>
  </si>
  <si>
    <t>采集（轻柔的抚摸）鹿</t>
  </si>
  <si>
    <t>药农</t>
  </si>
  <si>
    <t>title(药农)
body(hotyellow_3(任务进程:)newline()
   去找goto(63072,4)。
blankline()hotyellow_3(任务描述:)newline() 
space()space()space()和药农对话。)</t>
  </si>
  <si>
    <t>body(   来，深情的抚摸他一会试试看。)</t>
  </si>
  <si>
    <t>body(  爱！果然只有爱才是一切的良药！)</t>
  </si>
  <si>
    <t>&lt;p&gt;
&lt;n&gt;找到： &lt;/n&gt;
 &lt;n&gt; &lt;/n&gt;&lt;goto quick="1" id="63062" mapid="4" flagpoint="1" taskid="7070"/&gt;
&lt;/p&gt;</t>
  </si>
  <si>
    <t>&lt;p&gt;
&lt;n&gt;回复：&lt;/n&gt;
 &lt;n&gt; &lt;/n&gt;&lt;goto quick="1" id="63072" mapid="4" flagpoint="1" taskid="7070"/&gt;
&lt;/p&gt;</t>
  </si>
  <si>
    <t>暗影猎手</t>
  </si>
  <si>
    <t>title(暗影猎手)
body(hotyellow_3(任务进程:)newline()
   去找goto(63061,4)。
blankline()hotyellow_3(任务描述:)newline() 
space()space()space()和佣兵队长对话。)</t>
  </si>
  <si>
    <t>body(   去消灭三只暗影猎手来证明自己吧。)</t>
  </si>
  <si>
    <t>消灭暗影猎手。</t>
  </si>
  <si>
    <t>&lt;p&gt;
&lt;n&gt;击败&lt;/n&gt;
 &lt;n&gt; &lt;/n&gt;&lt;goto quick="1" id="15606" mapid="4" flagpoint="1" taskid="7071" /&gt;
&lt;/p&gt;</t>
  </si>
  <si>
    <t>&lt;p&gt;
&lt;n&gt;回复：&lt;/n&gt;
 &lt;n&gt; &lt;/n&gt;&lt;goto quick="1" id="63072" mapid="4" flagpoint="1" taskid="7071"/&gt;
&lt;/p&gt;</t>
  </si>
  <si>
    <t>{s_taskKillNpc, {63072,63072,15606,10}}</t>
  </si>
  <si>
    <t>title(进入光明城)
body(hotyellow_3(任务进程:)newline()
   去找goto(63073,5)。
blankline()hotyellow_3(任务描述:)newline() 
space()space()space()和大议长对话。)</t>
  </si>
  <si>
    <t>body(   好了，往里面走吧。我想你会喜欢上光明城的。)</t>
  </si>
  <si>
    <t>body(  很高兴再次见到你~)</t>
  </si>
  <si>
    <t>和大议长对话。</t>
  </si>
  <si>
    <t>&lt;p&gt;
&lt;n&gt;找到： &lt;/n&gt;
 &lt;n&gt; &lt;/n&gt;&lt;goto quick="1" id="63073" mapid="5" flagpoint="1" taskid="7072"/&gt;
&lt;/p&gt;</t>
  </si>
  <si>
    <t>&lt;p&gt;
&lt;n&gt;回复：&lt;/n&gt;
 &lt;n&gt; &lt;/n&gt;&lt;goto quick="1" id="63073" mapid="3" flagpoint="1" taskid="7072"/&gt;
&lt;/p&gt;</t>
  </si>
  <si>
    <t>遗忘沙漠</t>
  </si>
  <si>
    <t>法师杰克</t>
  </si>
  <si>
    <t>title(进入光明城)
body(hotyellow_3(任务进程:)newline()
   去找goto(63072,4)。
blankline()hotyellow_3(任务描述:)newline() 
space()space()space()和大议长对话。)</t>
  </si>
  <si>
    <t>body(   遗忘沙漠？那可是个危险的地方。不过如果是你的话……)</t>
  </si>
  <si>
    <t>body(  新面孔？~)</t>
  </si>
  <si>
    <t>和法师对话。</t>
  </si>
  <si>
    <t>&lt;p&gt;
&lt;n&gt;找到： &lt;/n&gt;
 &lt;n&gt; &lt;/n&gt;&lt;goto quick="1" id="63057" mapid="3" flagpoint="1" taskid="7094"/&gt;
&lt;/p&gt;</t>
  </si>
  <si>
    <t>&lt;p&gt;
&lt;n&gt;回复：&lt;/n&gt;
 &lt;n&gt; &lt;/n&gt;&lt;goto quick="1" id="63057" mapid="3" flagpoint="1" taskid="7094"/&gt;
&lt;/p&gt;</t>
  </si>
  <si>
    <t>title(法师杰克)
body(hotyellow_3(任务进程:)newline()
   去找goto(63057,3)。
blankline()hotyellow_3(任务描述:)newline() 
space()space()space()和法师对话。)</t>
  </si>
  <si>
    <t>body(   从哪里过来的？！)</t>
  </si>
  <si>
    <t>body(  滚回去！罪民！)</t>
  </si>
  <si>
    <t>和法师杰克对话。</t>
  </si>
  <si>
    <t>&lt;p&gt;
&lt;n&gt;找到： &lt;/n&gt;
 &lt;n&gt; &lt;/n&gt;&lt;goto quick="1" id="63057" mapid="3" flagpoint="1" taskid="7054"/&gt;
&lt;/p&gt;</t>
  </si>
  <si>
    <t>&lt;p&gt;
&lt;n&gt;回复：&lt;/n&gt;
 &lt;n&gt; &lt;/n&gt;&lt;goto quick="1" id="63057" mapid="3" flagpoint="1" taskid="7054"/&gt;
&lt;/p&gt;</t>
  </si>
  <si>
    <t>打怪</t>
  </si>
  <si>
    <t>岩蛛</t>
  </si>
  <si>
    <t>title(岩蛛)
body(hotyellow_3(任务进程:)newline()
   去找goto(63057,3)。
blankline()hotyellow_3(任务描述:)newline() 
space()space()space()和法师对话。)</t>
  </si>
  <si>
    <t>body(  呵呵，想要证明你不是被流放过去的罪民也很简答——去杀死几只岩蛛来证明就行。)</t>
  </si>
  <si>
    <t>body(  看来我误会你了——所有的罪民都被禁锢了力量，连最弱的怪物都无法打败。)</t>
  </si>
  <si>
    <t>&lt;p&gt;
&lt;n&gt;击败&lt;/n&gt;
 &lt;n&gt; &lt;/n&gt;&lt;goto quick="1" id="15600" mapid="3" flagpoint="1" taskid="7055" /&gt;
&lt;/p&gt;</t>
  </si>
  <si>
    <t>&lt;p&gt;
&lt;n&gt;回复：&lt;/n&gt;
 &lt;n&gt; &lt;/n&gt;&lt;goto quick="1" id="63057" mapid="3" flagpoint="1" taskid="7055"/&gt;
&lt;/p&gt;</t>
  </si>
  <si>
    <t>{s_taskKillNpc, {63057,63057,15600,10}}</t>
  </si>
  <si>
    <t>汉斯队长</t>
  </si>
  <si>
    <t>title(汉斯队长)
body(hotyellow_3(任务进程:)newline()
   去找goto(63057,3)。
blankline()hotyellow_3(任务描述:)newline() 
space()space()space()和汉斯对话。)</t>
  </si>
  <si>
    <t>body(   你得去汉斯队长那儿登记一下。)</t>
  </si>
  <si>
    <t>body(  新面孔？真是少见。)</t>
  </si>
  <si>
    <t>&lt;p&gt;
&lt;n&gt;找到： &lt;/n&gt;
 &lt;n&gt; &lt;/n&gt;&lt;goto quick="1" id="63057" mapid="3" flagpoint="1" taskid="7056"/&gt;
&lt;/p&gt;</t>
  </si>
  <si>
    <t>&lt;p&gt;
&lt;n&gt;回复：&lt;/n&gt;
 &lt;n&gt; &lt;/n&gt;&lt;goto quick="1" id="63058" mapid="3" flagpoint="1" taskid="7056"/&gt;
&lt;/p&gt;</t>
  </si>
  <si>
    <t>问答</t>
  </si>
  <si>
    <t>汉斯的问题</t>
  </si>
  <si>
    <t>title(汉斯的问题)
body(hotyellow_3(任务进程:)newline()
   去找goto(63058,3)。
blankline()hotyellow_3(任务描述:)newline() 
space()space()space()回答汉斯的问题。)</t>
  </si>
  <si>
    <t>body(   我得问你几个问题才能决定是不是为你登记。)</t>
  </si>
  <si>
    <t>body(  算是勉强通过吧。)</t>
  </si>
  <si>
    <t>和汉斯对话。</t>
  </si>
  <si>
    <t>&lt;p&gt;
&lt;n&gt;找到： &lt;/n&gt;
 &lt;n&gt; &lt;/n&gt;&lt;goto quick="1" id="63058" mapid="3" flagpoint="1" taskid="7057"/&gt;
&lt;/p&gt;</t>
  </si>
  <si>
    <t>&lt;p&gt;
&lt;n&gt;回复：&lt;/n&gt;
 &lt;n&gt; &lt;/n&gt;&lt;goto quick="1" id="63058" mapid="3" flagpoint="1" taskid="7057"/&gt;
&lt;/p&gt;</t>
  </si>
  <si>
    <t>精英岩蛛</t>
  </si>
  <si>
    <t>title(精英岩蛛)
body(hotyellow_3(任务进程:)newline()
   去找goto(63058,3)。
blankline()hotyellow_3(任务描述:)newline() 
space()space()space()消灭精英岩蛛。)</t>
  </si>
  <si>
    <t>body(   去帮我消灭消灭三只精英岩蛛，登记可不是免费的。)</t>
  </si>
  <si>
    <t>body(  很好。)</t>
  </si>
  <si>
    <t>和汉斯队长对话。</t>
  </si>
  <si>
    <t>&lt;p&gt;
&lt;n&gt;击败&lt;/n&gt;
 &lt;n&gt; &lt;/n&gt;&lt;goto quick="1" id="15601" mapid="3" flagpoint="1" taskid="7058" /&gt;
&lt;/p&gt;</t>
  </si>
  <si>
    <t>&lt;p&gt;
&lt;n&gt;回复：&lt;/n&gt;
 &lt;n&gt; &lt;/n&gt;&lt;goto quick="1" id="63058" mapid="3" flagpoint="1" taskid="7058"/&gt;
&lt;/p&gt;</t>
  </si>
  <si>
    <t>{s_taskKillNpc, {63058,63058,15601,10}}</t>
  </si>
  <si>
    <t>岩蛛药剂</t>
  </si>
  <si>
    <t>副队长卢卡斯</t>
  </si>
  <si>
    <t>title(岩蛛药剂)
body(hotyellow_3(任务进程:)newline()
   去找goto(63058,3)。
blankline()hotyellow_3(任务描述:)newline() 
space()space()space()和汉斯对话。)</t>
  </si>
  <si>
    <t>body(   这是用岩蛛精华制作的痛风药剂，我帮我找到我的副队长并对他使用——他受痛风的折磨很久了。)</t>
  </si>
  <si>
    <t>body(  呼……舒服多了。这是我的一点心意。)</t>
  </si>
  <si>
    <t>找到副队长。</t>
  </si>
  <si>
    <t>&lt;p&gt;
&lt;n&gt;找到： &lt;/n&gt;
 &lt;n&gt; &lt;/n&gt;&lt;goto quick="1" id="63059" mapid="3" flagpoint="1" taskid="7059"/&gt;
&lt;/p&gt;</t>
  </si>
  <si>
    <t>&lt;p&gt;
&lt;n&gt;回复：&lt;/n&gt;
 &lt;n&gt; &lt;/n&gt;&lt;goto quick="1" id="63059" mapid="3" flagpoint="1" taskid="7059"/&gt;
&lt;/p&gt;</t>
  </si>
  <si>
    <t>卢卡斯</t>
  </si>
  <si>
    <t>title(卢卡斯)
body(hotyellow_3(任务进程:)newline()
   去找goto(63059,3)。
blankline()hotyellow_3(任务描述:)newline() 
space()space()space()和副队长对话。)</t>
  </si>
  <si>
    <t>body(   十分感谢，因为工作原因我们一直抽不出时间去猎杀那只精英岩蛛。)</t>
  </si>
  <si>
    <t>body(  如果以后你还能猎杀到精英蜘蛛，都可以出售给我。)</t>
  </si>
  <si>
    <t>和卢卡斯副队长对话。</t>
  </si>
  <si>
    <t>&lt;p&gt;
&lt;n&gt;找到： &lt;/n&gt;
 &lt;n&gt; &lt;/n&gt;&lt;goto quick="1" id="63059" mapid="3" flagpoint="1" taskid="7060"/&gt;
&lt;/p&gt;</t>
  </si>
  <si>
    <t>&lt;p&gt;
&lt;n&gt;回复：&lt;/n&gt;
 &lt;n&gt; &lt;/n&gt;&lt;goto quick="1" id="63059" mapid="3" flagpoint="1" taskid="7060"/&gt;
&lt;/p&gt;</t>
  </si>
  <si>
    <t>暴熊</t>
  </si>
  <si>
    <t>title(暴熊)
body(hotyellow_3(任务进程:)newline()
   去找goto(63059,3)。
blankline()hotyellow_3(任务描述:)newline() 
space()space()space()和副队长对话。)</t>
  </si>
  <si>
    <t>body(   去帮我消灭三只火沙暴熊吧，我现在急需含有丰富能量的肉食来弥补消耗。)</t>
  </si>
  <si>
    <t>body(  十分感谢。)</t>
  </si>
  <si>
    <t>&lt;p&gt;
&lt;n&gt;击败&lt;/n&gt;
 &lt;n&gt; &lt;/n&gt;&lt;goto quick="1" id="15602" mapid="3" flagpoint="1" taskid="7061" /&gt;
&lt;/p&gt;</t>
  </si>
  <si>
    <t>&lt;p&gt;
&lt;n&gt;回复：&lt;/n&gt;
 &lt;n&gt; &lt;/n&gt;&lt;goto quick="1" id="63059" mapid="3" flagpoint="1" taskid="7061"/&gt;
&lt;/p&gt;</t>
  </si>
  <si>
    <t>{s_taskKillNpc, {63059,63059,15602,12}}</t>
  </si>
  <si>
    <t>牧师</t>
  </si>
  <si>
    <t>年迈牧师</t>
  </si>
  <si>
    <t>title(牧师)
body(hotyellow_3(任务进程:)newline()
   去找goto(63059,3)。
blankline()hotyellow_3(任务描述:)newline() 
space()space()space()和副队长对话。)</t>
  </si>
  <si>
    <t>body(   你的身上有伤？去找牧师先生吧，他对各种伤势都有一套。)</t>
  </si>
  <si>
    <t>body(  你好啊，陌生的年轻人。)</t>
  </si>
  <si>
    <t>和年迈的牧师对话。</t>
  </si>
  <si>
    <t>&lt;p&gt;
&lt;n&gt;找到： &lt;/n&gt;
 &lt;n&gt; &lt;/n&gt;&lt;goto quick="1" id="63060" mapid="3" flagpoint="1" taskid="7062"/&gt;
&lt;/p&gt;</t>
  </si>
  <si>
    <t>&lt;p&gt;
&lt;n&gt;回复：&lt;/n&gt;
 &lt;n&gt; &lt;/n&gt;&lt;goto quick="1" id="63060" mapid="3" flagpoint="1" taskid="7062"/&gt;
&lt;/p&gt;</t>
  </si>
  <si>
    <t>岩血</t>
  </si>
  <si>
    <t>title(岩血)
body(hotyellow_3(任务进程:)newline()
   去找goto(63060,3)。
blankline()hotyellow_3(任务描述:)newline() 
space()space()space()和牧师对话。)</t>
  </si>
  <si>
    <t>body(   你身上的伤势不轻啊，我得配置一种比较高效的药剂……你先猎杀三只重装岩兽来。)</t>
  </si>
  <si>
    <t>body( 这么快？真是让人惊叹的实力。)</t>
  </si>
  <si>
    <t>&lt;p&gt;
&lt;n&gt;击败&lt;/n&gt;
 &lt;n&gt; &lt;/n&gt;&lt;goto quick="1" id="15603" mapid="3" flagpoint="1" taskid="7063" /&gt;
&lt;/p&gt;</t>
  </si>
  <si>
    <t>&lt;p&gt;
&lt;n&gt;回复：&lt;/n&gt;
 &lt;n&gt; &lt;/n&gt;&lt;goto quick="1" id="63060" mapid="3" flagpoint="1" taskid="7063"/&gt;
&lt;/p&gt;</t>
  </si>
  <si>
    <t>{s_taskKillNpc, {63060,63060,15603,12}}</t>
  </si>
  <si>
    <t>蝎毒</t>
  </si>
  <si>
    <t>title(蝎毒)
body(hotyellow_3(任务进程:)newline()
   去找goto(63060,3)。
blankline()hotyellow_3(任务描述:)newline() 
space()space()space()和牧师对话。)</t>
  </si>
  <si>
    <t>body(   你还需要再去猎杀三只赤沙之蝎。)</t>
  </si>
  <si>
    <t>&lt;p&gt;
&lt;n&gt;击败&lt;/n&gt;
 &lt;n&gt; &lt;/n&gt;&lt;goto quick="1" id="15604" mapid="3" flagpoint="1" taskid="7064" /&gt;
&lt;/p&gt;</t>
  </si>
  <si>
    <t>&lt;p&gt;
&lt;n&gt;回复：&lt;/n&gt;
 &lt;n&gt; &lt;/n&gt;&lt;goto quick="1" id="63060" mapid="3" flagpoint="1" taskid="7064"/&gt;
&lt;/p&gt;</t>
  </si>
  <si>
    <t>{s_taskKillNpc, {63060,63060,15604,12}}</t>
  </si>
  <si>
    <t>隐者鲁尔</t>
  </si>
  <si>
    <t>title(光明之地)
body(hotyellow_3(任务进程:)newline()
   去找goto(63061,4)。
blankline()hotyellow_3(任务描述:)newline() 
space()space()space()找到光明城。)</t>
  </si>
  <si>
    <t>body(   想要彻底治愈你的伤势，只有去问问传说中的隐者了。)</t>
  </si>
  <si>
    <t>body( 一张新面孔。)</t>
  </si>
  <si>
    <t>&lt;p&gt;
&lt;n&gt;找到： &lt;/n&gt;
 &lt;n&gt; &lt;/n&gt;&lt;goto quick="1" id="63054" mapid="2" flagpoint="1" taskid="7065"/&gt;
&lt;/p&gt;</t>
  </si>
  <si>
    <t>&lt;p&gt;
&lt;n&gt;回复：&lt;/n&gt;
 &lt;n&gt; &lt;/n&gt;&lt;goto quick="1" id="63054" mapid="2" flagpoint="1" taskid="7065"/&gt;
&lt;/p&gt;</t>
  </si>
  <si>
    <t>隐者</t>
  </si>
  <si>
    <t>title(隐者)
body(hotyellow_3(任务进程:)newline()
   去找goto(63054,2)。
blankline()hotyellow_3(任务描述:)newline() 
space()space()space()和隐者交谈。)</t>
  </si>
  <si>
    <t>body(  space()space()space()player()，你是？)</t>
  </si>
  <si>
    <t>body(   space()space()space()player()，原来是我那老友的信使。)</t>
  </si>
  <si>
    <t>与鲁尔交谈。</t>
  </si>
  <si>
    <t>&lt;p&gt;
&lt;n&gt;找到： &lt;/n&gt;
 &lt;n&gt; &lt;/n&gt;&lt;goto quick="1" id="63054" mapid="2" flagpoint="1" taskid="7047"/&gt;
&lt;/p&gt;</t>
  </si>
  <si>
    <t>&lt;p&gt;
&lt;n&gt;回复：&lt;/n&gt;
 &lt;n&gt; &lt;/n&gt;&lt;goto quick="1" id="63054" mapid="2" flagpoint="1" taskid="7047"/&gt;
&lt;/p&gt;</t>
  </si>
  <si>
    <t>火焰领主</t>
  </si>
  <si>
    <t>title(火焰领主)
body(hotyellow_3(任务进程:)newline()
   去找goto(63054,2)。
blankline()hotyellow_3(任务描述:)newline() 
space()space()space()帮助隐者消灭火焰领主。)</t>
  </si>
  <si>
    <t>body(  space()space()space()player()，信中说道你是一名强大的勇士，那么能不能去帮我消灭那些火焰领主呢？)</t>
  </si>
  <si>
    <t>body(   space()space()space()player()，真是让人惊叹的实力。)</t>
  </si>
  <si>
    <t>消灭火焰领主。</t>
  </si>
  <si>
    <t>&lt;p&gt;
&lt;n&gt;击败&lt;/n&gt;
 &lt;n&gt; &lt;/n&gt;&lt;goto quick="1" id="15598" mapid="2" flagpoint="1" taskid="7048" /&gt;
&lt;/p&gt;</t>
  </si>
  <si>
    <t>&lt;p&gt;
&lt;n&gt;回复：&lt;/n&gt;
 &lt;n&gt; &lt;/n&gt;&lt;goto quick="1" id="63054" mapid="2" flagpoint="1" taskid="7048"/&gt;
&lt;/p&gt;</t>
  </si>
  <si>
    <t>{s_taskKillNpc, {63054,63054,15598,15}}</t>
  </si>
  <si>
    <t>鲁尔</t>
  </si>
  <si>
    <t>title(鲁尔)
body(hotyellow_3(任务进程:)newline()
   去找goto(63054,2)。
blankline()hotyellow_3(任务描述:)newline() 
space()space()space()和隐者鲁尔对话。)</t>
  </si>
  <si>
    <t>body(  space()space()space()player()，感谢你消灭了那些让这里变得寸草不生的罪魁祸首。)</t>
  </si>
  <si>
    <t>body(   space()space()space()player()，但是，这也只是治标不治本而已。)</t>
  </si>
  <si>
    <t>&lt;p&gt;
&lt;n&gt;找到： &lt;/n&gt;
 &lt;n&gt; &lt;/n&gt;&lt;goto quick="1" id="63054" mapid="2" flagpoint="1" taskid="7049"/&gt;
&lt;/p&gt;</t>
  </si>
  <si>
    <t>&lt;p&gt;
&lt;n&gt;回复：&lt;/n&gt;
 &lt;n&gt; &lt;/n&gt;&lt;goto quick="1" id="63054" mapid="2" flagpoint="1" taskid="7049"/&gt;
&lt;/p&gt;</t>
  </si>
  <si>
    <t>燃烧平原</t>
  </si>
  <si>
    <t>title(燃烧平原)
body(hotyellow_3(任务进程:)newline()
   去找goto(63054,2)。
blankline()hotyellow_3(任务描述:)newline() 
space()space()space()和隐者鲁尔对话。)</t>
  </si>
  <si>
    <t>body(   你知道吗，很久很久以前，这块平原并不是现在这样。)</t>
  </si>
  <si>
    <t>body(   不知何时，这儿才能变回以前的样子。)</t>
  </si>
  <si>
    <t>&lt;p&gt;
&lt;n&gt;找到： &lt;/n&gt;
 &lt;n&gt; &lt;/n&gt;&lt;goto quick="1" id="63054" mapid="2" flagpoint="1" taskid="7050"/&gt;
&lt;/p&gt;</t>
  </si>
  <si>
    <t>&lt;p&gt;
&lt;n&gt;回复：&lt;/n&gt;
 &lt;n&gt; &lt;/n&gt;&lt;goto quick="1" id="63054" mapid="2" flagpoint="1" taskid="7050"/&gt;
&lt;/p&gt;</t>
  </si>
  <si>
    <t>使用道具</t>
  </si>
  <si>
    <t>火焰草</t>
  </si>
  <si>
    <t>title(火焰草)
body(hotyellow_3(任务进程:)newline()
   去找goto(63054,2)。
blankline()hotyellow_3(任务描述:)newline() 
space()space()space()种植火焰草。)</t>
  </si>
  <si>
    <t>body(   火焰草有一种神奇的特性，就是能够吸收空气中游离的火焰元素，种的多了说不定能够把这儿恢复成正常的地方。player()请替我在燃烧平原上种植，希望能够有所帮助。)</t>
  </si>
  <si>
    <t>body(   希望可以起到些作用。)</t>
  </si>
  <si>
    <t>在燃烧平原上种植解火焰草。</t>
  </si>
  <si>
    <t>&lt;p&gt;
&lt;n&gt;  去&lt;/n&gt;
 &lt;goto pos="65,62" mapid="2"  flagpoint="1" /&gt;
&lt;n&gt;种植1株火焰草&lt;/n&gt;
&lt;newline/&gt;
&lt;n&gt;  （点击背包内的火焰草种子）&lt;/n&gt;
&lt;/p&gt;</t>
  </si>
  <si>
    <t>&lt;p&gt;
&lt;n&gt;回复：&lt;/n&gt;
 &lt;n&gt; &lt;/n&gt;&lt;goto quick="1" id="63054" mapid="2" flagpoint="1" taskid="7051"/&gt;
&lt;/p&gt;</t>
  </si>
  <si>
    <t>最终流放</t>
  </si>
  <si>
    <t>title(最终流放)
body(hotyellow_3(任务进程:)newline()
   去找goto(63054,2)。
blankline()hotyellow_3(任务描述:)newline() 
space()space()space()和隐者鲁尔对话。)</t>
  </si>
  <si>
    <t>body(   这块贫瘠的土地，现在已经成为了各个城市流放犯人的地方。)</t>
  </si>
  <si>
    <t>body(   离开吧，远远的离开这儿。这里不是你这样的年轻人该呆的地方。)</t>
  </si>
  <si>
    <t>和隐者鲁尔对话。</t>
  </si>
  <si>
    <t>&lt;p&gt;
&lt;n&gt;找到： &lt;/n&gt;
 &lt;n&gt; &lt;/n&gt;&lt;goto quick="1" id="63054" mapid="2" flagpoint="1" taskid="7052"/&gt;
&lt;/p&gt;</t>
  </si>
  <si>
    <t>&lt;p&gt;
&lt;n&gt;回复：&lt;/n&gt;
 &lt;n&gt; &lt;/n&gt;&lt;goto quick="1" id="63054" mapid="2" flagpoint="1" taskid="7052"/&gt;
&lt;/p&gt;</t>
  </si>
  <si>
    <t>黄色补给车</t>
  </si>
  <si>
    <t>成就任务</t>
  </si>
  <si>
    <t>黄色舞票</t>
  </si>
  <si>
    <t>极速狂飙</t>
  </si>
  <si>
    <t>绿色情报</t>
  </si>
  <si>
    <t>召唤小妖</t>
  </si>
  <si>
    <t>活力点宝箱（钻）</t>
  </si>
  <si>
    <t>罗密欧与朱丽叶</t>
  </si>
  <si>
    <t>钓鱼大师</t>
  </si>
  <si>
    <t>绿色水晶</t>
  </si>
  <si>
    <t>纯白的引领者</t>
  </si>
  <si>
    <t>命运大厅</t>
  </si>
  <si>
    <t>守卫要塞</t>
  </si>
  <si>
    <t>小丑的梦境</t>
  </si>
  <si>
    <t>BOSS积分</t>
  </si>
  <si>
    <t>功勋</t>
  </si>
  <si>
    <t>战争狂人</t>
  </si>
  <si>
    <t>国战勋章</t>
  </si>
  <si>
    <t>1V1挑战</t>
  </si>
  <si>
    <t>劫车</t>
  </si>
  <si>
    <t>组队争夺战</t>
  </si>
  <si>
    <t>血战到底</t>
  </si>
  <si>
    <t>十连斩</t>
  </si>
  <si>
    <t>信春哥</t>
  </si>
  <si>
    <t>击毁魔甲</t>
  </si>
  <si>
    <t>一星中尉</t>
  </si>
  <si>
    <t>神魔气槽</t>
  </si>
  <si>
    <t>10星</t>
  </si>
  <si>
    <t>8星套</t>
  </si>
  <si>
    <t>5个4孔属性</t>
  </si>
  <si>
    <t>5孔属性</t>
  </si>
  <si>
    <t>激活灵魂</t>
  </si>
  <si>
    <t>宠物</t>
  </si>
  <si>
    <t>100级血脉</t>
  </si>
  <si>
    <t>20级斗气</t>
  </si>
  <si>
    <t>VIP玩家</t>
  </si>
  <si>
    <t>传奇烙印</t>
  </si>
  <si>
    <t>纹章10星套</t>
  </si>
  <si>
    <t>羽翼</t>
  </si>
  <si>
    <t>3000战斗力</t>
  </si>
  <si>
    <t>技能符文</t>
  </si>
  <si>
    <t>好友的祝福</t>
  </si>
  <si>
    <t>亲密恋人</t>
  </si>
  <si>
    <t>战友的召唤</t>
  </si>
  <si>
    <t>团工资</t>
  </si>
  <si>
    <t>助人为乐</t>
  </si>
  <si>
    <t>救援</t>
  </si>
  <si>
    <t>送人玫瑰</t>
  </si>
  <si>
    <t>浇水</t>
  </si>
  <si>
    <t>响应召唤</t>
  </si>
  <si>
    <t>邀请合并</t>
  </si>
  <si>
    <t>团藏宝库</t>
  </si>
  <si>
    <t>总成就奖杯</t>
  </si>
  <si>
    <t>总成就任务</t>
  </si>
  <si>
    <t>成长类奖杯</t>
  </si>
  <si>
    <t>成长成就任务</t>
  </si>
  <si>
    <t>战斗类奖杯</t>
  </si>
  <si>
    <t>战斗成就任务</t>
  </si>
  <si>
    <t>能力类奖杯</t>
  </si>
  <si>
    <t>能力成就任务</t>
  </si>
  <si>
    <t>社交类成就</t>
  </si>
  <si>
    <t>社交成就任务</t>
  </si>
  <si>
    <t>[爱情]小幸福</t>
  </si>
  <si>
    <t>title(（爱情）小幸福)
body(
hotyellow_3
(任务进程:)
newline()  需身为恋人或夫妻的两人组队才可接取。接取任务后，hot(由男方抱起女方，右键目标头像选择交互动作中的抱起)1分钟以上，即可完成任务。至goto(203,156)处，即可完成任务。hot(抱起状态下，男方可移动，女方不可移动)newline()   （该任务每天可完成2次，完成任务后可增加双方好友度5点）
blankline()
hotyellow_3(任务描述:)
newline() space()space()space()player()，与恋人每天完成爱情任务，一起打怪，赠送玫瑰花均可提升两者间的好友度。hot(好友度达到1999时，恋人可成为夫妻。))</t>
  </si>
  <si>
    <t>body(   player()，接取任务后，将你的恋人抱起1分钟（目标头像右键，选择交互动作中的抱起）后。即可前往hot(罗密欧)处完成任务。)</t>
  </si>
  <si>
    <t>body(   很高兴看到你们如此幸福甜蜜。)</t>
  </si>
  <si>
    <t>需要抱起你的恋人1分钟</t>
  </si>
  <si>
    <t>&lt;p&gt;&lt;n&gt;需要抱起你的恋人1分钟&lt;/n&gt;&lt;book bookid="70014" text="了解交互动作"&gt;&lt;/p&gt;</t>
  </si>
  <si>
    <t>&lt;p&gt;
&lt;n&gt;  抱起你的恋人1分钟&lt;/n&gt;
&lt;newline/&gt;
 &lt;n&gt; &lt;/n&gt;&lt;goto id="203" mapid="156" flagpoint="1" taskid="30047"/&gt;
&lt;/p&gt;</t>
  </si>
  <si>
    <t>&lt;p&gt;
&lt;n&gt;  抱起你的恋人，并前往&lt;/n&gt;
 &lt;n&gt; &lt;/n&gt;&lt;goto id="203" mapid="156" flagpoint="1" taskid="30047"/&gt;
&lt;/p&gt;</t>
  </si>
  <si>
    <t>[爱情]小甜蜜</t>
  </si>
  <si>
    <t>title(（爱情）小甜蜜)
body(
hotyellow_3
(任务进程:)
newline()  需身为恋人或夫妻的两人组队才可接取。接取任务后，hot(男女双方依偎（目标头像右键，选择交互动作中的依偎）)在一起1分钟以上，即可完成任务。hot(依偎状态下，男女双方均不可移动)newline()   交任务需前往goto(204,156)newline()   （该任务每天可完成2次，完成任务后可增加双方好友度5点）
blankline()
hotyellow_3(任务描述:)
newline() space()space()space()player()，与恋人每天完成爱情任务，一起打怪，赠送玫瑰花均可提升两者间的好友度。hot(好友度达到1999时，恋人可成为夫妻。))</t>
  </si>
  <si>
    <t>body(   player()，接取任务后，与你的恋人依偎（目标头像右键，选择交互动作中的依偎）在一起1分钟以上，即可完成任务。)</t>
  </si>
  <si>
    <t>需要和你的恋人依偎1分钟以上哦</t>
  </si>
  <si>
    <t>&lt;p&gt;&lt;n&gt;需要和你的恋人依偎1分钟以上哦&lt;/n&gt;&lt;book bookid="70014" text="了解交互动作"&gt;&lt;/p&gt;</t>
  </si>
  <si>
    <t>&lt;p&gt;
&lt;n&gt;  与你的恋人一起依偎1分钟&lt;/n&gt;
&lt;newline/&gt;
 &lt;n&gt; &lt;/n&gt;&lt;goto id="204" mapid="156" flagpoint="1" taskid="30048"/&gt;
&lt;/p&gt;</t>
  </si>
  <si>
    <t>&lt;p&gt;
&lt;n&gt;  完成任务后，前往&lt;/n&gt;
 &lt;n&gt; &lt;/n&gt;&lt;goto id="204" mapid="156" flagpoint="1" taskid="30048"/&gt;
&lt;/p&gt;</t>
  </si>
  <si>
    <t>掉落测试</t>
  </si>
  <si>
    <t>巴特</t>
  </si>
  <si>
    <t>title(钢背领主)
body(hotyellow_3(任务进程:)newline()
  从goto(15619,1)那获得hot(符文布)，并将获取的hot(符文布)交给goto(63078,1)。
blankline()
   你接受了来自巴特的要求。)</t>
  </si>
  <si>
    <t>body(   space()space()space()player()，帮忙？呵呵呵，你这样的小家伙能帮上我什么忙？
好吧好吧，你先去拿回三份美杜莎的符文布。)</t>
  </si>
  <si>
    <t>body(   space()space()space()player()，你竟然真的拿回来了？
……我本来只是随便说说而已。)</t>
  </si>
  <si>
    <t>那些美杜莎就在附近。</t>
  </si>
  <si>
    <t>帮助巴特消灭附近的美杜莎并带回它们的特产符文布作为依据。</t>
  </si>
  <si>
    <t>&lt;p&gt;
&lt;n&gt;  获得&lt;/n&gt;
 &lt;n&gt; &lt;/n&gt;&lt;goto quick="1" id="15619" mapid="1" flagpoint="1" taskid="7199" /&gt;
&lt;n&gt;收藏的符文布&lt;/n&gt;
&lt;/p&gt;</t>
  </si>
  <si>
    <t>&lt;p&gt;
&lt;n&gt;回复：&lt;/n&gt;
 &lt;n&gt; &lt;/n&gt;&lt;goto quick="1" id="63078" mapid="1" flagpoint="1" taskid="7199"/&gt;
&lt;/p&gt;</t>
  </si>
  <si>
    <t>26171-0-5</t>
  </si>
  <si>
    <t>[日常]前线速递</t>
  </si>
  <si>
    <t>title(前线速递)
body(hotyellow_3(任务进程:)newline()
   将补给车运到goto(99999,66666)处。17:00-22:00可在goto(226,3)处投保。blankline()hot(   押金$FOREGIFT枚银币。)
newline()hot(   周日可额外进行1次前线速递)
blankline()hotyellow_3(任务描述:)newline() 
   任何军队只要三天不吃东西就会直接出局。由于生存环境恶劣，我们设立在光明城外围的营地的所有补给都完全依赖于我们的补给车队。blankline()
   护送物资车的沿途充满了危险，除了那些无处不在的变异生物，还有敌国的那些贪婪的士兵，请一路小心。blankline()hot(   定金会在顺利完成任务时返回，请不用担心)。blankline()hot(   在完成该任务前，无法接取下一个护送类任务。))</t>
  </si>
  <si>
    <t>body(   我们设立在光明城外围的前线营地的所有补给都依赖于我们的补给车队。player()，请帮助我们将补给车运送到前线。blankline()   虽然我十分信任你，但是按照惯例，我还是要收取一部分的hot(定金)，在物资车到达目的地后去会将定金再还给你的。blankline()   需要押金$FOREGIFT枚银币。)</t>
  </si>
  <si>
    <t>body(   国家多亏有您这样的人在。)</t>
  </si>
  <si>
    <t xml:space="preserve">   补给车再不到，就不得不撤离这里了。</t>
  </si>
  <si>
    <t>"将补给车运送到指定地点"</t>
  </si>
  <si>
    <t>title(前线速递)
body(hotyellow_3(任务进程:)newline()
   将补给车运到goto(99999,66666)处。17:00-22:00可在goto(226,5)处投保，中途可在goto(192,5)、goto(227,7)处刷新颜色。
blankline()hot(   押金$FOREGIFT枚银币。)
newline()hot(   周日可额外进行1次前线速递)
blankline()hotyellow_3(任务描述:)newline() 
   任何军队只要三天不吃东西就会直接出局。由于生存环境恶劣，我们设立在军乐城外围的营地的所有补给都完全依赖于我们的补给车队。blankline()
   护送物资车的沿途充满了危险，除了那些无处不在的变异生物，还有敌国的那些贪婪的士兵，请一路小心。blankline()hot(   定金会在顺利完成任务时返回，请不用担心)。blankline()hot(   在完成该任务前，无法接取下一个护送类任务。))</t>
  </si>
  <si>
    <t>body(   我们设立在军乐城外围的前线营地的所有补给都依赖于我们的补给车队。player()，请帮助我们将补给车运送到前线。blankline()   虽然我十分信任你，但是按照惯例，我还是要收取一部分的hot(定金)，在物资车到达目的地后去会将定金再还给你的。blankline()   需要押金$FOREGIFT枚银币。)</t>
  </si>
  <si>
    <t>[日常]远征</t>
  </si>
  <si>
    <t>body(   阻止敌人向你发起进攻最有效的方法就是展示你的力量，这比任何手段都要有效。我们要对敌国保持持久的威慑，以防止他们心存幻想，做出一些不理智的举动。blankline()space()space()space()player()，hot(周五完成远征任务，可获得双倍经验奖励。))</t>
  </si>
  <si>
    <t>body(   现在那些想发动战争的家伙，一定冷汗直流吧！)</t>
  </si>
  <si>
    <t>敌国那些蠢蠢欲动的家伙还是没有认清形势，正打算进攻我们呢。</t>
  </si>
  <si>
    <t>去遗忘沙漠（100级后前往中立区遗忘星空）消灭指定数量的怪</t>
  </si>
  <si>
    <t>&lt;p&gt;
&lt;n&gt;  跳转NPC：&lt;/n&gt;
 &lt;n&gt; &lt;/n&gt;&lt;goto id="126" mapid="3" flagpoint="1" taskid="30026"/&gt;
&lt;newline/&gt;
&lt;n&gt;  回复：&lt;/n&gt;
 &lt;n&gt; &lt;/n&gt;&lt;goto id="197" mapid="3" flagpoint="1"/&gt;
&lt;/p&gt;</t>
  </si>
  <si>
    <t>[赏金]制作远征卷轴</t>
  </si>
  <si>
    <t>body(   远征是一件艰苦的事情，但是也是战士的荣耀，你可以将你的荣耀分享，去帮助需要的人，让他们分享你的荣耀。hot(完成远征赏金任务，奖励赏金卷轴（远征）1个，使用赏金卷轴（远征）可以直接完成远征任务，赏金卷轴（远征）可交易换取银币))</t>
  </si>
  <si>
    <t>body(   你可以拿着你的荣耀给需要的人hot(完成远征赏金任务，奖励赏金卷轴（远征）1个，使用赏金卷轴（远征）可以直接完成远征任务，赏金卷轴（远征）可交易换取银币))</t>
  </si>
  <si>
    <t>"你还要再多努力一点才能完成。"</t>
  </si>
  <si>
    <t>"去敌国沙漠消灭指定数量的怪"</t>
  </si>
  <si>
    <t>&lt;p&gt;
&lt;n&gt;  跳转NPC：&lt;/n&gt;
 &lt;n&gt; &lt;/n&gt;&lt;goto id="126" mapid="3" flagpoint="1" taskid="30250"/&gt;
&lt;newline/&gt;
&lt;n&gt;  回复：&lt;/n&gt;
 &lt;n&gt; &lt;/n&gt;&lt;goto id="197" mapid="3" flagpoint="1"/&gt;
&lt;/p&gt;</t>
  </si>
  <si>
    <t>{s_taskTalk,{197,197}}</t>
  </si>
  <si>
    <t>[日常]猎命师手札</t>
  </si>
  <si>
    <t>title(猎命师手札)
body(
   消灭30只$LEVEL级以上的变异生物。
blankline()hotyellow_3(任务描述:)newline()  如果有人看到这封手札，说明我又一次失败了。我什么都无法阻止，一切都未曾改变。blankline()   我将所知的一切写在这本手札上，以在我失败之后，后来人能得知我所知道的一切，以及这场灾难的起源。这封手札的内容如果让弱者得知，不过是平添无谓的牺牲。blankline()   所以我把手札分成册，并做了一些手脚。如果你能看到这份手札，你将担负起拯救人类的重任，上帝也将为你祝福。blankline()   消灭30只$LEVEL级以上的变异生物，你得到的将比你付出的更多。)</t>
  </si>
  <si>
    <t>&lt;p&gt;
&lt;n&gt;  回复NPC：&lt;/n&gt;
 &lt;n&gt; &lt;/n&gt;&lt;goto id="129" mapid="118" flagpoint="1" taskid="30028" /&gt;
&lt;/p&gt;</t>
  </si>
  <si>
    <t>&lt;p&gt;
&lt;n&gt;  回复：&lt;/n&gt;
 &lt;n&gt; &lt;/n&gt;&lt;goto id="129" mapid="118" flagpoint="1" taskid="30028"/&gt;&lt;/p&gt;</t>
  </si>
  <si>
    <t>{s_taskCustom,{0,0,0,0}}</t>
  </si>
  <si>
    <t>[团]钢背野猪</t>
  </si>
  <si>
    <t>恩莱科</t>
  </si>
  <si>
    <t>title(钢背野猪)
body(hotyellow_3(任务进程:)newline()
   去找goto(63080,1)。
blankline()hotyellow_3(任务描述:)newline() 
space()space()space()消灭钢背野猪。)</t>
  </si>
  <si>
    <t>body(   space()space()space()player()，没有时间多说了，野外魔物猖獗，我们的防线已被一再压缩。
你需要消灭掉一些钢背野猪才能有效的减轻我们的压力。)</t>
  </si>
  <si>
    <t>body(   space()space()space()player()，那些家伙。。。。已经那么强大了？)</t>
  </si>
  <si>
    <t>没有找到它们吗？</t>
  </si>
  <si>
    <t>消灭钢背野猪。</t>
  </si>
  <si>
    <t>&lt;p&gt;
&lt;n&gt;击败&lt;/n&gt;
 &lt;n&gt; &lt;/n&gt;&lt;goto quick="1" id="15618" mapid="1" flagpoint="1" taskid="20000" /&gt;
&lt;/p&gt;</t>
  </si>
  <si>
    <t>&lt;p&gt;
&lt;n&gt;回复：&lt;/n&gt;
 &lt;n&gt; &lt;/n&gt;&lt;goto quick="1" id="45112" mapid="101" flagpoint="1" taskid="20000"/&gt;
&lt;/p&gt;</t>
  </si>
  <si>
    <t>{s_taskKillNpc, {45112,45112,15618,3}}</t>
  </si>
  <si>
    <t>&lt;p&gt;
&lt;n&gt;击败&lt;/n&gt;
 &lt;n&gt; &lt;/n&gt;&lt;goto quick="1" id="15618" mapid="1" flagpoint="1" taskid="20001" /&gt;
&lt;/p&gt;</t>
  </si>
  <si>
    <t>&lt;p&gt;
&lt;n&gt;回复：&lt;/n&gt;
 &lt;n&gt; &lt;/n&gt;&lt;goto quick="1" id="45112" mapid="101" flagpoint="1" taskid="20001"/&gt;
&lt;/p&gt;</t>
  </si>
  <si>
    <t>[团]光明之地</t>
  </si>
  <si>
    <t>&lt;p&gt;
&lt;n&gt;找到： &lt;/n&gt;
 &lt;n&gt; &lt;/n&gt;&lt;goto quick="1" id="45112" mapid="101" flagpoint="1" taskid="20002"/&gt;
&lt;/p&gt;</t>
  </si>
  <si>
    <t>&lt;p&gt;
&lt;n&gt;回复：&lt;/n&gt;
 &lt;n&gt; &lt;/n&gt;&lt;goto quick="1" id="45112" mapid="101" flagpoint="1" taskid="20002"/&gt;
&lt;/p&gt;</t>
  </si>
  <si>
    <t>&lt;p&gt;
&lt;n&gt;找到： &lt;/n&gt;
 &lt;n&gt; &lt;/n&gt;&lt;goto quick="1" id="45112" mapid="101" flagpoint="1" taskid="20003"/&gt;
&lt;/p&gt;</t>
  </si>
  <si>
    <t>&lt;p&gt;
&lt;n&gt;回复：&lt;/n&gt;
 &lt;n&gt; &lt;/n&gt;&lt;goto quick="1" id="45112" mapid="101" flagpoint="1" taskid="20003"/&gt;
&lt;/p&gt;</t>
  </si>
  <si>
    <t>[团]火焰草</t>
  </si>
  <si>
    <t>&lt;p&gt;
&lt;n&gt;回复：&lt;/n&gt;
 &lt;n&gt; &lt;/n&gt;&lt;goto quick="1" id="45112" mapid="101" flagpoint="1" taskid="20004"/&gt;
&lt;/p&gt;</t>
  </si>
  <si>
    <t>&lt;p&gt;
&lt;n&gt;回复：&lt;/n&gt;
 &lt;n&gt; &lt;/n&gt;&lt;goto quick="1" id="45112" mapid="101" flagpoint="1" taskid="20005"/&gt;
&lt;/p&gt;</t>
  </si>
  <si>
    <t>[团]岩蛛药剂</t>
  </si>
  <si>
    <t>body(   这是用岩蛛精华制作的痛风药剂，帮我使用一下。)</t>
  </si>
  <si>
    <t>找到恩莱科。</t>
  </si>
  <si>
    <t>&lt;p&gt;
&lt;n&gt;找到： &lt;/n&gt;
 &lt;n&gt; &lt;/n&gt;&lt;goto quick="1" id="45112" mapid="101" flagpoint="1" taskid="20006"/&gt;
&lt;/p&gt;</t>
  </si>
  <si>
    <t>&lt;p&gt;
&lt;n&gt;回复：&lt;/n&gt;
 &lt;n&gt; &lt;/n&gt;&lt;goto quick="1" id="45112" mapid="101" flagpoint="1" taskid="20006"/&gt;
&lt;/p&gt;</t>
  </si>
  <si>
    <t>&lt;p&gt;
&lt;n&gt;找到： &lt;/n&gt;
 &lt;n&gt; &lt;/n&gt;&lt;goto quick="1" id="45112" mapid="101" flagpoint="1" taskid="20007"/&gt;
&lt;/p&gt;</t>
  </si>
  <si>
    <t>&lt;p&gt;
&lt;n&gt;回复：&lt;/n&gt;
 &lt;n&gt; &lt;/n&gt;&lt;goto quick="1" id="45112" mapid="101" flagpoint="1" taskid="20007"/&gt;
&lt;/p&gt;</t>
  </si>
  <si>
    <t>[团]暴熊</t>
  </si>
  <si>
    <t>和恩莱科对话。</t>
  </si>
  <si>
    <t>&lt;p&gt;
&lt;n&gt;击败&lt;/n&gt;
 &lt;n&gt; &lt;/n&gt;&lt;goto quick="1" id="15602" mapid="3" flagpoint="1" taskid="20008" /&gt;
&lt;/p&gt;</t>
  </si>
  <si>
    <t>&lt;p&gt;
&lt;n&gt;回复：&lt;/n&gt;
 &lt;n&gt; &lt;/n&gt;&lt;goto quick="1" id="45112" mapid="101" flagpoint="1" taskid="20008"/&gt;
&lt;/p&gt;</t>
  </si>
  <si>
    <t>{s_taskKillNpc, {45112,45112,15602,12}}</t>
  </si>
  <si>
    <t>[团]火焰领主</t>
  </si>
  <si>
    <t>&lt;p&gt;
&lt;n&gt;击败&lt;/n&gt;
 &lt;n&gt; &lt;/n&gt;&lt;goto quick="1" id="15598" mapid="2" flagpoint="1" taskid="20009" /&gt;
&lt;/p&gt;</t>
  </si>
  <si>
    <t>&lt;p&gt;
&lt;n&gt;回复：&lt;/n&gt;
 &lt;n&gt; &lt;/n&gt;&lt;goto quick="1" id="45112" mapid="101" flagpoint="1" taskid="20009"/&gt;
&lt;/p&gt;</t>
  </si>
  <si>
    <t>{s_taskKillNpc, {45112,45112,15598,15}}</t>
  </si>
  <si>
    <t>道具格式</t>
  </si>
  <si>
    <t>{{id,scene,num,judge,"attr"},{1001,0,1,1,"6-4,7-3"},...}</t>
  </si>
  <si>
    <t>白装格式（1001，0，1，0，“4-1”）judge为1必须分配6-x,7-x否则程序随机生成</t>
  </si>
  <si>
    <t>judge=1表示走鉴定流程，judge=2表示走鉴定流程（附加属性不产生为阉割装）</t>
  </si>
  <si>
    <t>白装不走鉴定流程，需要加4-1。除白装外其他装备需要走鉴定流程。</t>
  </si>
  <si>
    <t>任务类型</t>
  </si>
  <si>
    <t xml:space="preserve">1    主线+支线                  1000-9999 主线       10000-20000支线
2     日常任务                30000以上
3     军团任务                 20000-30000
4     挑战任务            10000-20000
5     成就任务            40000-50000
6     节日活动            50001-60000
7    是否检索                1检索，0不检索，2挑战任务，检索，3隐藏挑战任务，不检索
</t>
  </si>
  <si>
    <t>任务地图</t>
  </si>
  <si>
    <t>0-在多个地图可接；1-太空堡垒；2-迷雾废墟；3-光明城；4-燃烧平原；6-隐匿者丛林；7-遗忘沙漠</t>
  </si>
  <si>
    <t>任务类型1</t>
  </si>
  <si>
    <t>1.主线
2.支线
3.日常
4.军团（除科技任务）
5.发布类任务
6.军团科技任务</t>
  </si>
  <si>
    <t>任务类型2</t>
  </si>
  <si>
    <t>任务类型决定NPC头顶叹号的显示</t>
  </si>
  <si>
    <t>任务类型3</t>
  </si>
  <si>
    <t>1表示直接到达接任务NPC；0表示不能</t>
  </si>
  <si>
    <t>1表示接任务后可以直接完成；0表示不能</t>
  </si>
  <si>
    <t>0表示由服务器判定；1表示客户端判定</t>
  </si>
  <si>
    <t>title()标题，会彩色字体稍大</t>
  </si>
  <si>
    <t>body()内容主体，除了title()其他标签都应包含在其中，内容为普通白色</t>
  </si>
  <si>
    <t>goto(npcid,mapid) 超链接显示，须在body()内嵌套</t>
  </si>
  <si>
    <t>player() 玩家姓名</t>
  </si>
  <si>
    <t>hot(xxx) 对内容xxx颜色高亮显示(绿色),须在body()内嵌套</t>
  </si>
  <si>
    <t>hot2(xxx) 对内容xxx颜色高亮显示(黄色) 须在body()内嵌套</t>
  </si>
  <si>
    <t>newline() 换行 须在body()内嵌套</t>
  </si>
  <si>
    <t>var(taskid,varid) 显示任务变量数字，须在body()内嵌套</t>
  </si>
  <si>
    <t>pos(x,y,mapid) 指定坐标显示,须在body()内</t>
  </si>
  <si>
    <t>hot3(xxx) 对内容xxx颜色高亮显示(蓝色) 须在body()内嵌套</t>
  </si>
  <si>
    <t>hot4(xxx) 对内容xxx颜色高亮显示(红色) 须在body()内嵌套</t>
  </si>
  <si>
    <t>blankline() 加一个空行 须在body()内嵌套</t>
  </si>
  <si>
    <t>&lt;dialog text="点击打开包裹" hotkeyid="2" /&gt;</t>
  </si>
  <si>
    <t>打开游戏内界面</t>
  </si>
  <si>
    <t>人物等级</t>
  </si>
  <si>
    <t>升级经验</t>
  </si>
  <si>
    <t>剧情任务数</t>
  </si>
  <si>
    <t>任务经验</t>
  </si>
  <si>
    <t>[1级]星之城</t>
  </si>
  <si>
    <t>炽天使</t>
  </si>
  <si>
    <t>title(（1级）星之城)
body(hotyellow_3(任务进程:)newline()
   去找goto(60045,1)。
blankline()hotyellow_3(任务描述:)newline() 
space()space()space()player()，很高兴你能来到这里。首先，还是找到星之城的炽天使熟悉一下情况吧！)</t>
  </si>
  <si>
    <t>body(  space()space()space()player()，很高兴你能来到这里。首先，还是找到星之城的炽天使熟悉一下情况吧！#p微笑)</t>
  </si>
  <si>
    <t>body(   space()space()space()player()，欢迎来到星之城。#p微笑)</t>
  </si>
  <si>
    <t>&lt;p&gt;&lt;goto id="60045" flagpoint="1" mapid="1"/&gt;&lt;n&gt;正在等你，“L”键查看&lt;/n&gt;&lt;dialog text="任务详细" hotkeyid="3" /&gt;&lt;/p&gt;</t>
  </si>
  <si>
    <t>&lt;p&gt;
&lt;n&gt;  回复： &lt;/n&gt;
 &lt;n&gt; &lt;/n&gt;&lt;goto quick="1" id="60045" mapid="1" flagpoint="1" taskid="3001"/&gt;
&lt;/p&gt;</t>
  </si>
  <si>
    <t>&lt;p&gt;
&lt;n&gt;  回复：&lt;/n&gt;
 &lt;n&gt; &lt;/n&gt;&lt;goto quick="1" id="60045" mapid="1" flagpoint="1" taskid="3001"/&gt;
&lt;/p&gt;</t>
  </si>
  <si>
    <t>[2级]王者之剑</t>
  </si>
  <si>
    <t>光明女神</t>
  </si>
  <si>
    <t>title( （2级）王者之剑)
body(hotyellow_3(任务进程:)newline()
   去拔出goto(60141,1)后，回复goto(60046,1)
blankline()hotyellow_3(任务描述:)newline() 
  星之城的hot(王者之剑)是力量与权力的象征。只有真正的王者才能把它拔出。你去试试吧。)</t>
  </si>
  <si>
    <t>body(   星之城的hot(王者之剑)是力量与权力的象征。只有真正的王者才能把它拔出。你去试试吧。#p右哼哼)</t>
  </si>
  <si>
    <t>body(   太不可思议了！你居然拔出了王者之剑！#p吓)</t>
  </si>
  <si>
    <t>果然拔不出来没？</t>
  </si>
  <si>
    <t>&lt;p&gt;&lt;n&gt;拔出&lt;/n&gt;&lt;goto id="60141" flagpoint="1" mapid="1"/&gt;&lt;/p&gt;</t>
  </si>
  <si>
    <t>&lt;p&gt;
&lt;n&gt;  拔出 &lt;/n&gt;
 &lt;n&gt; &lt;/n&gt;&lt;goto quick="1" id="60141" mapid="1" flagpoint="1" taskid="3021"/&gt;
&lt;/p&gt;</t>
  </si>
  <si>
    <t>&lt;p&gt;
&lt;n&gt;  回复：&lt;/n&gt;
 &lt;n&gt; &lt;/n&gt;&lt;goto quick="1" id="60046" mapid="1" flagpoint="1" taskid="3021"/&gt;&lt;/p&gt;</t>
  </si>
  <si>
    <t>[21级]镇长的推荐信</t>
  </si>
  <si>
    <t>卡尔</t>
  </si>
  <si>
    <t>{{29066,0,1,0,"1-1,7-1"}}</t>
  </si>
  <si>
    <t>{{31065,3,1,0,"1-1"}}</t>
  </si>
  <si>
    <t>title(（21级）镇长的推荐信)
body(hotyellow_3(任务进程:)newline()
   将镇长的hot(推荐信)交给光明城的goto(60000,3)。
blankline()hotyellow_3(任务描述:)newline() 
   hot3(光明骑士团是隶属于光明教会的武装力量！光明骑士团的存在，就是为了消灭黑暗，带领人类走向光明！))</t>
  </si>
  <si>
    <t>body(   年轻人，你所表现的战斗力，远超我对年轻战士的认知。请你务必带上我这封信，去光明城找我们的头，光明骑士团团长hot(卡尔)。)</t>
  </si>
  <si>
    <t>body(   你就是艾伦信中提到的勇士？哈哈，很高兴见到你！blankline()   这里有一份hot(军团契约)，拿好了。当你拥有5份这样的契约时，就可以在hot(团联络官)那里组建自己的团了。blankline()   当然，不使用契约，而是消费hot(100枚银币)也可以达到同样的目的。)</t>
  </si>
  <si>
    <t>光明骑士团团长就在光明城里。你进入光明城走到底就能看到他了。或者打开地图，使用NPC寻路功能也能轻松找到他哦！</t>
  </si>
  <si>
    <t>&lt;p&gt;
&lt;n&gt;  将推荐信交给&lt;/n&gt;
 &lt;n&gt; &lt;/n&gt;&lt;goto quick="1" id="60000" mapid="3" flagpoint="1" taskid="3801" /&gt;
&lt;/p&gt;</t>
  </si>
  <si>
    <t>&lt;p&gt;
&lt;n&gt;  将信交给：&lt;/n&gt;
 &lt;n&gt; &lt;/n&gt;&lt;goto quick="1" id="60000" mapid="3" flagpoint="1" taskid="3801"/&gt;&lt;/p&gt;</t>
  </si>
  <si>
    <t>[26级]舞蹈的力量</t>
  </si>
  <si>
    <t>团联络官</t>
  </si>
  <si>
    <t>尼诺</t>
  </si>
  <si>
    <t>title(（26级）舞蹈的力量)
body(hotyellow_3(任务进程:)newline()
   去pos(376,355,3)的舞池舞蹈一分钟。
blankline()   完成后找到goto(123,3)
blankline()hotyellow_3(任务描述:)newline()   跳舞需在“技能”栏中的“生存技能”学习”跳舞”技能，并只有在指定的区域才能跳舞。并可以通过下属方法提升跳舞的经验。newline()   hot2(1.国王发布舞会时跳舞，可获得额外的经验加成。)newline()   hot2(2.跳舞时使用舞票，品质越高，获得的经验加成越高。舞票可通过打怪或者拍卖行购买获得。)newline()   hot2(3.跳舞时，同时进行跳舞的玩家越多，获得的经验加成越高。)newline()   hot2(以上3点效果可叠加。))</t>
  </si>
  <si>
    <r>
      <rPr>
        <sz val="11"/>
        <color theme="1"/>
        <rFont val="宋体"/>
        <charset val="134"/>
      </rPr>
      <t>body(   跳舞可以舒展肌肉，锻炼人体的协调能力。长期跳舞能够提高你在战斗过程中的预判能力，达到实力上的提升。尝试跳舞，并将跳舞的心得和体会告知位于燃烧平原的火焰少校比尔。</t>
    </r>
    <r>
      <rPr>
        <sz val="11"/>
        <color theme="1"/>
        <rFont val="宋体"/>
        <charset val="134"/>
      </rPr>
      <t xml:space="preserve">newline()   </t>
    </r>
    <r>
      <rPr>
        <sz val="11"/>
        <color theme="1"/>
        <rFont val="宋体"/>
        <charset val="134"/>
      </rPr>
      <t>跳舞需在“技能”栏中的“生存技能”学习”跳舞”技能，并只有在指定的区域才能跳舞。并可以通过下属方法提升跳舞的经验。</t>
    </r>
    <r>
      <rPr>
        <sz val="11"/>
        <color theme="1"/>
        <rFont val="宋体"/>
        <charset val="134"/>
      </rPr>
      <t>newline()   hot2(1.</t>
    </r>
    <r>
      <rPr>
        <sz val="11"/>
        <color theme="1"/>
        <rFont val="宋体"/>
        <charset val="134"/>
      </rPr>
      <t>国王发布舞会时跳舞，可获得额外的经验加成。</t>
    </r>
    <r>
      <rPr>
        <sz val="11"/>
        <color theme="1"/>
        <rFont val="宋体"/>
        <charset val="134"/>
      </rPr>
      <t>)newline()   hot2(2.</t>
    </r>
    <r>
      <rPr>
        <sz val="11"/>
        <color theme="1"/>
        <rFont val="宋体"/>
        <charset val="134"/>
      </rPr>
      <t>跳舞时使用舞票，品质越高，获得的经验加成越高。舞票可通过打怪或者拍卖行购买获得。</t>
    </r>
    <r>
      <rPr>
        <sz val="11"/>
        <color theme="1"/>
        <rFont val="宋体"/>
        <charset val="134"/>
      </rPr>
      <t>)newline()   hot2(3.</t>
    </r>
    <r>
      <rPr>
        <sz val="11"/>
        <color theme="1"/>
        <rFont val="宋体"/>
        <charset val="134"/>
      </rPr>
      <t>跳舞时，同时进行跳舞的玩家越多，获得的经验加成越高。</t>
    </r>
    <r>
      <rPr>
        <sz val="11"/>
        <color theme="1"/>
        <rFont val="宋体"/>
        <charset val="134"/>
      </rPr>
      <t>)newline()   hot2(</t>
    </r>
    <r>
      <rPr>
        <sz val="11"/>
        <color theme="1"/>
        <rFont val="宋体"/>
        <charset val="134"/>
      </rPr>
      <t>以上</t>
    </r>
    <r>
      <rPr>
        <sz val="11"/>
        <color theme="1"/>
        <rFont val="宋体"/>
        <charset val="134"/>
      </rPr>
      <t>3</t>
    </r>
    <r>
      <rPr>
        <sz val="11"/>
        <color theme="1"/>
        <rFont val="宋体"/>
        <charset val="134"/>
      </rPr>
      <t>点效果可叠加。</t>
    </r>
    <r>
      <rPr>
        <sz val="11"/>
        <color theme="1"/>
        <rFont val="宋体"/>
        <charset val="134"/>
      </rPr>
      <t>)</t>
    </r>
    <r>
      <rPr>
        <sz val="11"/>
        <color theme="1"/>
        <rFont val="宋体"/>
        <charset val="134"/>
      </rPr>
      <t>)</t>
    </r>
  </si>
  <si>
    <t>body(   你好，player()，想去哪里？我都可以负责传送。)</t>
  </si>
  <si>
    <t>在光明城舞池舞蹈1分钟，完成后去燃烧平原与比尔对话</t>
  </si>
  <si>
    <r>
      <rPr>
        <sz val="11"/>
        <color theme="1"/>
        <rFont val="宋体"/>
        <charset val="134"/>
      </rPr>
      <t>&lt;p&gt;
&lt;n&gt;  到达&lt;/n&gt;
 &lt;goto pos="3</t>
    </r>
    <r>
      <rPr>
        <sz val="11"/>
        <color theme="1"/>
        <rFont val="宋体"/>
        <charset val="134"/>
      </rPr>
      <t>81</t>
    </r>
    <r>
      <rPr>
        <sz val="11"/>
        <color theme="1"/>
        <rFont val="宋体"/>
        <charset val="134"/>
      </rPr>
      <t>,3</t>
    </r>
    <r>
      <rPr>
        <sz val="11"/>
        <color theme="1"/>
        <rFont val="宋体"/>
        <charset val="134"/>
      </rPr>
      <t>78</t>
    </r>
    <r>
      <rPr>
        <sz val="11"/>
        <color theme="1"/>
        <rFont val="宋体"/>
        <charset val="134"/>
      </rPr>
      <t>" mapid="3"  flagpoint="1" /&gt;
&lt;n&gt;的舞池&lt;/n&gt;
&lt;newline/&gt;
&lt;n&gt;  &lt;/n&gt;&lt;dialog taskid="4011" text="使用跳舞技能" hotkeyid="5" tabid="2-1"/&gt;&lt;n&gt;舞蹈一分钟&lt;/n&gt;
&lt;newline/&gt;
&lt;n&gt;  使用舞票可得高额经验&lt;/n&gt;
&lt;/p&gt;</t>
    </r>
  </si>
  <si>
    <t>&lt;p&gt;
&lt;n&gt;  回复：&lt;/n&gt;
 &lt;n&gt; &lt;/n&gt;&lt;goto quick="1" id="123" mapid="3" flagpoint="1" taskid="4011"/&gt;&lt;/p&gt;</t>
  </si>
  <si>
    <t>[14级]溃烂的伤口</t>
  </si>
  <si>
    <t>鲍文</t>
  </si>
  <si>
    <t>title(（14级）溃烂的伤口)
body(hotyellow_3(任务进程:)newline()
   获取10只goto(10132,2)交给goto(60035,2)。
blankline()hotyellow_3(任务描述:)newline() 
   哎，如果继续这样下去，盖亚孙子生还的机会非常小。blankline()   曾经有一些民族使用过蝎子来治疗类似病症，事到如今，我们还是尝试一下吧！)</t>
  </si>
  <si>
    <t>body(   这样下去，盖亚孙子生还的机会非常小。blankline()   曾经有一些民族使用过蝎子来治疗类似病症，事到如今，我们还是尝试一下吧！)</t>
  </si>
  <si>
    <t>body(   希望可以起到一定的效果……)</t>
  </si>
  <si>
    <t>古老民族的智慧，希望能够拯救这个可怜的孩子</t>
  </si>
  <si>
    <t>&lt;p&gt;&lt;n&gt;杀&lt;/n&gt;&lt;goto id="10132" mapid="2" flagpoint="1"/&gt;&lt;n&gt;获得10只变异毒蝎。&lt;/n&gt;&lt;/p&gt;</t>
  </si>
  <si>
    <t>&lt;p&gt;
&lt;n&gt;  获得10只&lt;/n&gt;
 &lt;n&gt; &lt;/n&gt;&lt;goto quick="1" id="10132" mapid="2" flagpoint="1" taskid="3351" /&gt;
&lt;/p&gt;</t>
  </si>
  <si>
    <t xml:space="preserve"> &lt;p&gt;
&lt;n&gt;  回复：&lt;/n&gt;
 &lt;n&gt; &lt;/n&gt;&lt;goto quick="1" id="60035" mapid="2" flagpoint="1" taskid="3351"/&gt;&lt;/p&gt;</t>
  </si>
  <si>
    <t>"31171-0-10"</t>
  </si>
  <si>
    <t>[6级]吃货</t>
  </si>
  <si>
    <t>赤灵狐</t>
  </si>
  <si>
    <t>title( [6级]吃货)
body(hotyellow_3(任务进程:)newline()
   击败4个goto(10103,1)后，回复goto(60031,1)。
blankline()hotyellow_3(任务描述:)newline() 
我好饿啊，给我去搞点吃的吧。看在我这么可爱的份上。)</t>
  </si>
  <si>
    <t>body(我好饿啊，给我去搞点吃的吧。看在我这么可爱的份上。#p矮油)</t>
  </si>
  <si>
    <t>body(   味道真不错！#p色)</t>
  </si>
  <si>
    <t>"我要吃肉！"</t>
  </si>
  <si>
    <t>&lt;p&gt;&lt;goto id="10103" flagpoint="1" mapid="1"/&gt;&lt;n&gt;需要你前往。“L”键查看&lt;/n&gt;&lt;dialog text="任务详细" hotkeyid="3" /&gt;&lt;/p&gt;</t>
  </si>
  <si>
    <t>&lt;p&gt;
&lt;n&gt;  击败：&lt;/n&gt;
 &lt;n&gt; &lt;/n&gt;&lt;goto quick="1" id="10103" mapid="1" flagpoint="1" taskid="3074" /&gt;
&lt;/p&gt;</t>
  </si>
  <si>
    <t>&lt;p&gt;
&lt;n&gt;  回复：&lt;/n&gt;
 &lt;n&gt; &lt;/n&gt;&lt;goto quick="1" id="60007" mapid="1" flagpoint="1" taskid="3074"/&gt;&lt;/p&gt;</t>
  </si>
  <si>
    <t>[1级]光明女神</t>
  </si>
  <si>
    <t>title(（1级）光明女神)
body(hotyellow_3(任务进程:)newline()
   去找goto(60046,1)。
blankline()hotyellow_3(任务描述:)newline() 
 每个来到星之城的人，必须去拜访光明女神。 )</t>
  </si>
  <si>
    <t>body(   我是炽天使。你所在的地方是星之城。blankline()   blankline()space()space()space()player()每个来到星之城的人，必须去拜访hot(光明女神)！)</t>
  </si>
  <si>
    <t>body(   又是一个闯入者吗？#p右哼哼)</t>
  </si>
  <si>
    <t>&lt;p&gt;&lt;goto id="60046" flagpoint="1" mapid="1"/&gt;&lt;n&gt;正在等你，“L”键查看&lt;/n&gt;&lt;dialog text="任务详细" hotkeyid="3" /&gt;&lt;/p&gt;</t>
  </si>
  <si>
    <t>&lt;p&gt;
&lt;n&gt;  回复： &lt;/n&gt;
 &lt;n&gt; &lt;/n&gt;&lt;goto quick="1" id="60046" mapid="1" flagpoint="1" taskid="3011"/&gt;
&lt;/p&gt;</t>
  </si>
  <si>
    <t>&lt;p&gt;
&lt;n&gt;  回复：&lt;/n&gt;
 &lt;n&gt; &lt;/n&gt;&lt;goto quick="1" id="60046" mapid="1" flagpoint="1" taskid="3011"/&gt;&lt;/p&gt;</t>
  </si>
  <si>
    <t>[2级]圣骑士</t>
  </si>
  <si>
    <t>圣骑士</t>
  </si>
  <si>
    <t>title( （2级）圣骑士)
body(hotyellow_3(任务进程:)newline()
   与goto(60005,1)交谈。
   blankline()hotyellow_3(任务描述:)newline() 
   圣骑士是格斗高手，可以向他询问如何使用武器。
   blankline()
   点击屏幕右侧hot(任务追踪的名字)或按hot(“M”键打开大地图)。你能在星之城中部找到她。)</t>
  </si>
  <si>
    <t>body(   圣骑士是格斗高手，可以向他询问如何使用武器。)</t>
  </si>
  <si>
    <t>body(   好的，我也只能教导你最基本的技巧，其他靠你自己的领悟了。#p哈哈)</t>
  </si>
  <si>
    <t>""</t>
  </si>
  <si>
    <t>&lt;p&gt;&lt;goto id="60005" flagpoint="1" mapid="1"/&gt;&lt;n&gt;正在等你，“L”键查看&lt;/n&gt;&lt;dialog text="任务详细" hotkeyid="3" /&gt;&lt;/p&gt;</t>
  </si>
  <si>
    <t>去找艾薇儿NPC,交付任务失去任务物品圣骑士写给艾薇儿的情书（31038）</t>
  </si>
  <si>
    <t>&lt;p&gt;
&lt;n&gt;  回复：&lt;/n&gt;
 &lt;n&gt; &lt;/n&gt;&lt;goto quick="1" id="60005" mapid="1" flagpoint="1" taskid="3031" /&gt;
&lt;/p&gt;</t>
  </si>
  <si>
    <t>&lt;p&gt;
&lt;n&gt; 回复：&lt;/n&gt;
 &lt;n&gt; &lt;/n&gt;&lt;goto quick="1" id="60005" mapid="1" flagpoint="1" taskid="3031"/&gt;&lt;/p&gt;</t>
  </si>
  <si>
    <t>[3级]初试牛刀</t>
  </si>
  <si>
    <t>艾薇儿</t>
  </si>
  <si>
    <t xml:space="preserve"> {{23037,0,10,0,"1-0"},{23041,0,10,0,"1-0"}}</t>
  </si>
  <si>
    <t>title( [3级]初试牛刀)
body(hotyellow_3(任务进程:)newline()
   击败3个goto(10104,1)后，回复goto(60029,1)。
blankline()hotyellow_3(任务描述:)newline() 
   只有通过不断的战斗，才能提升真正的能力。去试试吧。)</t>
  </si>
  <si>
    <t>body(space()space()space()player()， 只有通过不断的战斗，才能提升真正的能力。去试试吧。#p奋斗)</t>
  </si>
  <si>
    <t>body(   居然又把那么可爱的怪物杀了！#p哭)</t>
  </si>
  <si>
    <t>&lt;p&gt;&lt;n&gt;击败&lt;/n&gt;&lt;goto id="10104" flagpoint="1" mapid="1"/&gt;&lt;dialog text="自动打怪" hotkeyid="54" /&gt;&lt;/p&gt;</t>
  </si>
  <si>
    <t>&lt;p&gt;
&lt;n&gt;  击败： &lt;/n&gt;
 &lt;n&gt; &lt;/n&gt;&lt;goto quick="1" id="10104" mapid="1" flagpoint="1" taskid="3041"/&gt;
&lt;/p&gt;</t>
  </si>
  <si>
    <t>&lt;p&gt;
&lt;n&gt;  回复：&lt;/n&gt;
 &lt;n&gt; &lt;/n&gt;&lt;goto quick="1" id="60029" mapid="1" flagpoint="1" taskid="3041"/&gt;&lt;/p&gt;</t>
  </si>
  <si>
    <t>霍利克</t>
  </si>
  <si>
    <t>title(（21级）镇长的推荐信)
body(hotyellow_3(任务进程:)newline()
   将hot(推荐信)交给goto(60017,2)。
blankline()hotyellow_3(任务描述:)newline() 
   hot3(光明骑士团是隶属于光明教会的武装力量！光明骑士团的存在，就是为了消灭黑暗，带领人类走向光明！))</t>
  </si>
  <si>
    <t>body(   年轻人，你所表现的战斗力，远超我对年轻战士的认知。请你务必带上我这封信，去光明城找我们的头。)</t>
  </si>
  <si>
    <t>&lt;p&gt;
&lt;n&gt;  将推荐信交给&lt;/n&gt;
 &lt;n&gt; &lt;/n&gt;&lt;goto quick="1" id="60017" mapid="2" flagpoint="1" taskid="3801" /&gt;
&lt;/p&gt;</t>
  </si>
  <si>
    <t>&lt;p&gt;
&lt;n&gt;  将信交给：&lt;/n&gt;
 &lt;n&gt; &lt;/n&gt;&lt;goto quick="1" id="60017" mapid="2" flagpoint="1" taskid="3801"/&gt;&lt;/p&gt;</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</si>
</sst>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1">
    <font>
      <sz val="11"/>
      <color theme="1"/>
      <name val="宋体"/>
      <charset val="134"/>
      <scheme val="minor"/>
    </font>
    <font>
      <sz val="9"/>
      <name val="宋体"/>
      <charset val="134"/>
    </font>
    <font>
      <sz val="11"/>
      <color theme="1"/>
      <name val="宋体"/>
      <charset val="134"/>
    </font>
    <font>
      <sz val="11"/>
      <name val="宋体"/>
      <charset val="134"/>
    </font>
    <font>
      <sz val="11"/>
      <color indexed="8"/>
      <name val="宋体"/>
      <charset val="134"/>
    </font>
    <font>
      <b/>
      <sz val="11"/>
      <color rgb="FFFF0000"/>
      <name val="宋体"/>
      <charset val="134"/>
    </font>
    <font>
      <b/>
      <sz val="11"/>
      <color rgb="FFFF0000"/>
      <name val="宋体"/>
      <charset val="134"/>
      <scheme val="minor"/>
    </font>
    <font>
      <sz val="14"/>
      <name val="宋体"/>
      <charset val="134"/>
    </font>
    <font>
      <sz val="12"/>
      <name val="宋体"/>
      <charset val="134"/>
    </font>
    <font>
      <sz val="11"/>
      <color rgb="FFFF0000"/>
      <name val="宋体"/>
      <charset val="134"/>
    </font>
    <font>
      <sz val="10"/>
      <color theme="1"/>
      <name val="微软雅黑"/>
      <charset val="134"/>
    </font>
    <font>
      <sz val="11"/>
      <color theme="1"/>
      <name val="宋体"/>
      <charset val="134"/>
      <scheme val="minor"/>
    </font>
    <font>
      <u/>
      <sz val="11"/>
      <color rgb="FF0000FF"/>
      <name val="宋体"/>
      <charset val="0"/>
      <scheme val="minor"/>
    </font>
    <font>
      <b/>
      <sz val="13"/>
      <color theme="3"/>
      <name val="宋体"/>
      <charset val="134"/>
      <scheme val="minor"/>
    </font>
    <font>
      <b/>
      <sz val="11"/>
      <color rgb="FFFA7D00"/>
      <name val="宋体"/>
      <charset val="0"/>
      <scheme val="minor"/>
    </font>
    <font>
      <i/>
      <sz val="11"/>
      <color rgb="FF7F7F7F"/>
      <name val="宋体"/>
      <charset val="0"/>
      <scheme val="minor"/>
    </font>
    <font>
      <sz val="11"/>
      <color rgb="FFFA7D00"/>
      <name val="宋体"/>
      <charset val="0"/>
      <scheme val="minor"/>
    </font>
    <font>
      <sz val="11"/>
      <color rgb="FF3F3F76"/>
      <name val="宋体"/>
      <charset val="0"/>
      <scheme val="minor"/>
    </font>
    <font>
      <b/>
      <sz val="11"/>
      <color theme="3"/>
      <name val="宋体"/>
      <charset val="134"/>
      <scheme val="minor"/>
    </font>
    <font>
      <b/>
      <sz val="18"/>
      <color theme="3"/>
      <name val="宋体"/>
      <charset val="134"/>
      <scheme val="minor"/>
    </font>
    <font>
      <sz val="11"/>
      <color theme="1"/>
      <name val="宋体"/>
      <charset val="0"/>
      <scheme val="minor"/>
    </font>
    <font>
      <sz val="11"/>
      <color rgb="FF9C0006"/>
      <name val="宋体"/>
      <charset val="0"/>
      <scheme val="minor"/>
    </font>
    <font>
      <b/>
      <sz val="11"/>
      <color theme="1"/>
      <name val="宋体"/>
      <charset val="0"/>
      <scheme val="minor"/>
    </font>
    <font>
      <sz val="11"/>
      <color theme="0"/>
      <name val="宋体"/>
      <charset val="0"/>
      <scheme val="minor"/>
    </font>
    <font>
      <sz val="11"/>
      <color rgb="FFFF0000"/>
      <name val="宋体"/>
      <charset val="0"/>
      <scheme val="minor"/>
    </font>
    <font>
      <b/>
      <sz val="11"/>
      <color rgb="FF3F3F3F"/>
      <name val="宋体"/>
      <charset val="0"/>
      <scheme val="minor"/>
    </font>
    <font>
      <u/>
      <sz val="11"/>
      <color rgb="FF800080"/>
      <name val="宋体"/>
      <charset val="0"/>
      <scheme val="minor"/>
    </font>
    <font>
      <b/>
      <sz val="11"/>
      <color rgb="FFFFFFFF"/>
      <name val="宋体"/>
      <charset val="0"/>
      <scheme val="minor"/>
    </font>
    <font>
      <b/>
      <sz val="15"/>
      <color theme="3"/>
      <name val="宋体"/>
      <charset val="134"/>
      <scheme val="minor"/>
    </font>
    <font>
      <sz val="11"/>
      <color rgb="FF9C6500"/>
      <name val="宋体"/>
      <charset val="0"/>
      <scheme val="minor"/>
    </font>
    <font>
      <sz val="11"/>
      <color rgb="FF006100"/>
      <name val="宋体"/>
      <charset val="0"/>
      <scheme val="minor"/>
    </font>
  </fonts>
  <fills count="38">
    <fill>
      <patternFill patternType="none"/>
    </fill>
    <fill>
      <patternFill patternType="gray125"/>
    </fill>
    <fill>
      <patternFill patternType="solid">
        <fgColor theme="8" tint="0.599993896298105"/>
        <bgColor indexed="64"/>
      </patternFill>
    </fill>
    <fill>
      <patternFill patternType="solid">
        <fgColor theme="2" tint="-0.0999786370433668"/>
        <bgColor indexed="64"/>
      </patternFill>
    </fill>
    <fill>
      <patternFill patternType="solid">
        <fgColor indexed="43"/>
        <bgColor indexed="26"/>
      </patternFill>
    </fill>
    <fill>
      <patternFill patternType="solid">
        <fgColor theme="9" tint="0.599993896298105"/>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FFF00"/>
        <bgColor indexed="64"/>
      </patternFill>
    </fill>
    <fill>
      <patternFill patternType="solid">
        <fgColor theme="0"/>
        <bgColor indexed="64"/>
      </patternFill>
    </fill>
    <fill>
      <patternFill patternType="solid">
        <fgColor theme="2"/>
        <bgColor indexed="64"/>
      </patternFill>
    </fill>
    <fill>
      <patternFill patternType="solid">
        <fgColor rgb="FFF2F2F2"/>
        <bgColor indexed="64"/>
      </patternFill>
    </fill>
    <fill>
      <patternFill patternType="solid">
        <fgColor rgb="FFFFCC99"/>
        <bgColor indexed="64"/>
      </patternFill>
    </fill>
    <fill>
      <patternFill patternType="solid">
        <fgColor theme="4" tint="0.599993896298105"/>
        <bgColor indexed="64"/>
      </patternFill>
    </fill>
    <fill>
      <patternFill patternType="solid">
        <fgColor rgb="FFFFC7CE"/>
        <bgColor indexed="64"/>
      </patternFill>
    </fill>
    <fill>
      <patternFill patternType="solid">
        <fgColor theme="6"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rgb="FFFFFFCC"/>
        <bgColor indexed="64"/>
      </patternFill>
    </fill>
    <fill>
      <patternFill patternType="solid">
        <fgColor theme="5" tint="0.399975585192419"/>
        <bgColor indexed="64"/>
      </patternFill>
    </fill>
    <fill>
      <patternFill patternType="solid">
        <fgColor rgb="FFA5A5A5"/>
        <bgColor indexed="64"/>
      </patternFill>
    </fill>
    <fill>
      <patternFill patternType="solid">
        <fgColor rgb="FFFFEB9C"/>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4"/>
        <bgColor indexed="64"/>
      </patternFill>
    </fill>
    <fill>
      <patternFill patternType="solid">
        <fgColor theme="5"/>
        <bgColor indexed="64"/>
      </patternFill>
    </fill>
    <fill>
      <patternFill patternType="solid">
        <fgColor rgb="FFC6EFCE"/>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7"/>
        <bgColor indexed="64"/>
      </patternFill>
    </fill>
    <fill>
      <patternFill patternType="solid">
        <fgColor theme="6"/>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9" tint="0.399975585192419"/>
        <bgColor indexed="64"/>
      </patternFill>
    </fill>
    <fill>
      <patternFill patternType="solid">
        <fgColor theme="9"/>
        <bgColor indexed="64"/>
      </patternFill>
    </fill>
  </fills>
  <borders count="14">
    <border>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right/>
      <top style="medium">
        <color auto="1"/>
      </top>
      <bottom/>
      <diagonal/>
    </border>
    <border>
      <left style="thin">
        <color auto="1"/>
      </left>
      <right style="thin">
        <color auto="1"/>
      </right>
      <top style="medium">
        <color auto="1"/>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s>
  <cellStyleXfs count="57">
    <xf numFmtId="0" fontId="0" fillId="0" borderId="0">
      <alignment vertical="center"/>
    </xf>
    <xf numFmtId="42" fontId="0" fillId="0" borderId="0" applyFont="0" applyFill="0" applyBorder="0" applyAlignment="0" applyProtection="0">
      <alignment vertical="center"/>
    </xf>
    <xf numFmtId="0" fontId="20" fillId="17" borderId="0" applyNumberFormat="0" applyBorder="0" applyAlignment="0" applyProtection="0">
      <alignment vertical="center"/>
    </xf>
    <xf numFmtId="0" fontId="17" fillId="12" borderId="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0" fillId="15" borderId="0" applyNumberFormat="0" applyBorder="0" applyAlignment="0" applyProtection="0">
      <alignment vertical="center"/>
    </xf>
    <xf numFmtId="0" fontId="21" fillId="14" borderId="0" applyNumberFormat="0" applyBorder="0" applyAlignment="0" applyProtection="0">
      <alignment vertical="center"/>
    </xf>
    <xf numFmtId="43" fontId="0" fillId="0" borderId="0" applyFont="0" applyFill="0" applyBorder="0" applyAlignment="0" applyProtection="0">
      <alignment vertical="center"/>
    </xf>
    <xf numFmtId="0" fontId="23" fillId="7" borderId="0" applyNumberFormat="0" applyBorder="0" applyAlignment="0" applyProtection="0">
      <alignment vertical="center"/>
    </xf>
    <xf numFmtId="0" fontId="12" fillId="0" borderId="0" applyNumberFormat="0" applyFill="0" applyBorder="0" applyAlignment="0" applyProtection="0">
      <alignment vertical="center"/>
    </xf>
    <xf numFmtId="9" fontId="0" fillId="0" borderId="0" applyFont="0" applyFill="0" applyBorder="0" applyAlignment="0" applyProtection="0">
      <alignment vertical="center"/>
    </xf>
    <xf numFmtId="0" fontId="26" fillId="0" borderId="0" applyNumberFormat="0" applyFill="0" applyBorder="0" applyAlignment="0" applyProtection="0">
      <alignment vertical="center"/>
    </xf>
    <xf numFmtId="0" fontId="0" fillId="0" borderId="0">
      <alignment vertical="center"/>
    </xf>
    <xf numFmtId="0" fontId="0" fillId="18" borderId="12" applyNumberFormat="0" applyFont="0" applyAlignment="0" applyProtection="0">
      <alignment vertical="center"/>
    </xf>
    <xf numFmtId="0" fontId="23" fillId="19" borderId="0" applyNumberFormat="0" applyBorder="0" applyAlignment="0" applyProtection="0">
      <alignment vertical="center"/>
    </xf>
    <xf numFmtId="0" fontId="18"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28" fillId="0" borderId="6" applyNumberFormat="0" applyFill="0" applyAlignment="0" applyProtection="0">
      <alignment vertical="center"/>
    </xf>
    <xf numFmtId="0" fontId="13" fillId="0" borderId="6" applyNumberFormat="0" applyFill="0" applyAlignment="0" applyProtection="0">
      <alignment vertical="center"/>
    </xf>
    <xf numFmtId="0" fontId="23" fillId="22" borderId="0" applyNumberFormat="0" applyBorder="0" applyAlignment="0" applyProtection="0">
      <alignment vertical="center"/>
    </xf>
    <xf numFmtId="0" fontId="18" fillId="0" borderId="9" applyNumberFormat="0" applyFill="0" applyAlignment="0" applyProtection="0">
      <alignment vertical="center"/>
    </xf>
    <xf numFmtId="0" fontId="23" fillId="23" borderId="0" applyNumberFormat="0" applyBorder="0" applyAlignment="0" applyProtection="0">
      <alignment vertical="center"/>
    </xf>
    <xf numFmtId="0" fontId="25" fillId="11" borderId="11" applyNumberFormat="0" applyAlignment="0" applyProtection="0">
      <alignment vertical="center"/>
    </xf>
    <xf numFmtId="0" fontId="14" fillId="11" borderId="7" applyNumberFormat="0" applyAlignment="0" applyProtection="0">
      <alignment vertical="center"/>
    </xf>
    <xf numFmtId="0" fontId="27" fillId="20" borderId="13" applyNumberFormat="0" applyAlignment="0" applyProtection="0">
      <alignment vertical="center"/>
    </xf>
    <xf numFmtId="0" fontId="20" fillId="24" borderId="0" applyNumberFormat="0" applyBorder="0" applyAlignment="0" applyProtection="0">
      <alignment vertical="center"/>
    </xf>
    <xf numFmtId="0" fontId="23" fillId="26" borderId="0" applyNumberFormat="0" applyBorder="0" applyAlignment="0" applyProtection="0">
      <alignment vertical="center"/>
    </xf>
    <xf numFmtId="0" fontId="16" fillId="0" borderId="8" applyNumberFormat="0" applyFill="0" applyAlignment="0" applyProtection="0">
      <alignment vertical="center"/>
    </xf>
    <xf numFmtId="0" fontId="22" fillId="0" borderId="10" applyNumberFormat="0" applyFill="0" applyAlignment="0" applyProtection="0">
      <alignment vertical="center"/>
    </xf>
    <xf numFmtId="0" fontId="30" fillId="27" borderId="0" applyNumberFormat="0" applyBorder="0" applyAlignment="0" applyProtection="0">
      <alignment vertical="center"/>
    </xf>
    <xf numFmtId="0" fontId="29" fillId="21" borderId="0" applyNumberFormat="0" applyBorder="0" applyAlignment="0" applyProtection="0">
      <alignment vertical="center"/>
    </xf>
    <xf numFmtId="0" fontId="20" fillId="6" borderId="0" applyNumberFormat="0" applyBorder="0" applyAlignment="0" applyProtection="0">
      <alignment vertical="center"/>
    </xf>
    <xf numFmtId="0" fontId="23" fillId="25" borderId="0" applyNumberFormat="0" applyBorder="0" applyAlignment="0" applyProtection="0">
      <alignment vertical="center"/>
    </xf>
    <xf numFmtId="0" fontId="20" fillId="29" borderId="0" applyNumberFormat="0" applyBorder="0" applyAlignment="0" applyProtection="0">
      <alignment vertical="center"/>
    </xf>
    <xf numFmtId="0" fontId="20" fillId="13" borderId="0" applyNumberFormat="0" applyBorder="0" applyAlignment="0" applyProtection="0">
      <alignment vertical="center"/>
    </xf>
    <xf numFmtId="0" fontId="20" fillId="30" borderId="0" applyNumberFormat="0" applyBorder="0" applyAlignment="0" applyProtection="0">
      <alignment vertical="center"/>
    </xf>
    <xf numFmtId="0" fontId="20" fillId="31" borderId="0" applyNumberFormat="0" applyBorder="0" applyAlignment="0" applyProtection="0">
      <alignment vertical="center"/>
    </xf>
    <xf numFmtId="0" fontId="23" fillId="33" borderId="0" applyNumberFormat="0" applyBorder="0" applyAlignment="0" applyProtection="0">
      <alignment vertical="center"/>
    </xf>
    <xf numFmtId="0" fontId="23" fillId="32" borderId="0" applyNumberFormat="0" applyBorder="0" applyAlignment="0" applyProtection="0">
      <alignment vertical="center"/>
    </xf>
    <xf numFmtId="0" fontId="20" fillId="34" borderId="0" applyNumberFormat="0" applyBorder="0" applyAlignment="0" applyProtection="0">
      <alignment vertical="center"/>
    </xf>
    <xf numFmtId="0" fontId="20" fillId="35" borderId="0" applyNumberFormat="0" applyBorder="0" applyAlignment="0" applyProtection="0">
      <alignment vertical="center"/>
    </xf>
    <xf numFmtId="0" fontId="23" fillId="16" borderId="0" applyNumberFormat="0" applyBorder="0" applyAlignment="0" applyProtection="0">
      <alignment vertical="center"/>
    </xf>
    <xf numFmtId="0" fontId="8" fillId="0" borderId="0"/>
    <xf numFmtId="0" fontId="20" fillId="2" borderId="0" applyNumberFormat="0" applyBorder="0" applyAlignment="0" applyProtection="0">
      <alignment vertical="center"/>
    </xf>
    <xf numFmtId="0" fontId="23" fillId="28" borderId="0" applyNumberFormat="0" applyBorder="0" applyAlignment="0" applyProtection="0">
      <alignment vertical="center"/>
    </xf>
    <xf numFmtId="0" fontId="23" fillId="37" borderId="0" applyNumberFormat="0" applyBorder="0" applyAlignment="0" applyProtection="0">
      <alignment vertical="center"/>
    </xf>
    <xf numFmtId="0" fontId="0" fillId="0" borderId="0">
      <alignment vertical="center"/>
    </xf>
    <xf numFmtId="0" fontId="20" fillId="5" borderId="0" applyNumberFormat="0" applyBorder="0" applyAlignment="0" applyProtection="0">
      <alignment vertical="center"/>
    </xf>
    <xf numFmtId="0" fontId="23" fillId="36" borderId="0" applyNumberFormat="0" applyBorder="0" applyAlignment="0" applyProtection="0">
      <alignment vertical="center"/>
    </xf>
    <xf numFmtId="0" fontId="0" fillId="0" borderId="0">
      <alignment vertical="center"/>
    </xf>
    <xf numFmtId="0" fontId="0" fillId="0" borderId="0">
      <alignment vertical="center"/>
    </xf>
    <xf numFmtId="0" fontId="8" fillId="0" borderId="0"/>
    <xf numFmtId="0" fontId="8" fillId="0" borderId="0"/>
    <xf numFmtId="0" fontId="0" fillId="0" borderId="0">
      <alignment vertical="center"/>
    </xf>
  </cellStyleXfs>
  <cellXfs count="118">
    <xf numFmtId="0" fontId="0" fillId="0" borderId="0" xfId="0">
      <alignment vertical="center"/>
    </xf>
    <xf numFmtId="0" fontId="0" fillId="0" borderId="0" xfId="0" applyFont="1">
      <alignment vertical="center"/>
    </xf>
    <xf numFmtId="0" fontId="1" fillId="2" borderId="0" xfId="0" applyFont="1" applyFill="1" applyAlignment="1">
      <alignment vertical="center" wrapText="1"/>
    </xf>
    <xf numFmtId="0" fontId="1" fillId="3" borderId="0" xfId="0" applyFont="1" applyFill="1" applyAlignment="1">
      <alignment vertical="center" wrapText="1"/>
    </xf>
    <xf numFmtId="0" fontId="2" fillId="0" borderId="0" xfId="0" applyFont="1" applyFill="1" applyAlignment="1">
      <alignment vertical="center" wrapText="1"/>
    </xf>
    <xf numFmtId="0" fontId="3" fillId="2" borderId="0" xfId="0" applyFont="1" applyFill="1" applyAlignment="1">
      <alignment vertical="center" wrapText="1"/>
    </xf>
    <xf numFmtId="0" fontId="3" fillId="3" borderId="0" xfId="0" applyFont="1" applyFill="1" applyAlignment="1">
      <alignment vertical="center" wrapText="1"/>
    </xf>
    <xf numFmtId="0" fontId="3" fillId="3" borderId="0" xfId="0" applyFont="1" applyFill="1" applyBorder="1" applyAlignment="1">
      <alignment vertical="center" wrapText="1"/>
    </xf>
    <xf numFmtId="0" fontId="4" fillId="3" borderId="0" xfId="0" applyFont="1" applyFill="1" applyBorder="1" applyAlignment="1">
      <alignment vertical="center" wrapText="1"/>
    </xf>
    <xf numFmtId="0" fontId="2" fillId="0" borderId="0" xfId="0" applyFont="1" applyFill="1" applyAlignment="1">
      <alignment vertical="center"/>
    </xf>
    <xf numFmtId="0" fontId="4" fillId="3" borderId="0" xfId="0" applyFont="1" applyFill="1" applyAlignment="1">
      <alignment vertical="center"/>
    </xf>
    <xf numFmtId="0" fontId="3" fillId="2" borderId="1" xfId="0" applyFont="1" applyFill="1" applyBorder="1" applyAlignment="1">
      <alignment vertical="center" wrapText="1"/>
    </xf>
    <xf numFmtId="0" fontId="3" fillId="2" borderId="0" xfId="0" applyFont="1" applyFill="1" applyBorder="1" applyAlignment="1">
      <alignment vertical="center" wrapText="1"/>
    </xf>
    <xf numFmtId="0" fontId="5" fillId="2" borderId="0" xfId="0" applyFont="1" applyFill="1" applyBorder="1" applyAlignment="1">
      <alignment vertical="center" wrapText="1"/>
    </xf>
    <xf numFmtId="0" fontId="3" fillId="3" borderId="1" xfId="0" applyFont="1" applyFill="1" applyBorder="1" applyAlignment="1">
      <alignment vertical="center" wrapText="1"/>
    </xf>
    <xf numFmtId="0" fontId="5" fillId="3" borderId="0" xfId="0" applyFont="1" applyFill="1" applyBorder="1" applyAlignment="1">
      <alignment vertical="center" wrapText="1"/>
    </xf>
    <xf numFmtId="0" fontId="5" fillId="2" borderId="1" xfId="0" applyFont="1" applyFill="1" applyBorder="1" applyAlignment="1">
      <alignment vertical="center" wrapText="1"/>
    </xf>
    <xf numFmtId="0" fontId="3" fillId="2" borderId="2" xfId="0" applyFont="1" applyFill="1" applyBorder="1" applyAlignment="1">
      <alignment horizontal="left" vertical="top" wrapText="1"/>
    </xf>
    <xf numFmtId="0" fontId="5" fillId="3" borderId="1" xfId="0" applyFont="1" applyFill="1" applyBorder="1" applyAlignment="1">
      <alignment vertical="center" wrapText="1"/>
    </xf>
    <xf numFmtId="0" fontId="5" fillId="3" borderId="0" xfId="0" applyFont="1" applyFill="1" applyAlignment="1">
      <alignment vertical="center" wrapText="1"/>
    </xf>
    <xf numFmtId="0" fontId="3" fillId="3" borderId="3" xfId="0" applyFont="1" applyFill="1" applyBorder="1" applyAlignment="1">
      <alignment horizontal="left" vertical="top" wrapText="1"/>
    </xf>
    <xf numFmtId="49" fontId="3" fillId="2" borderId="2" xfId="0" applyNumberFormat="1" applyFont="1" applyFill="1" applyBorder="1" applyAlignment="1">
      <alignment vertical="center" wrapText="1"/>
    </xf>
    <xf numFmtId="0" fontId="3" fillId="2" borderId="2" xfId="0" applyFont="1" applyFill="1" applyBorder="1" applyAlignment="1">
      <alignment vertical="center" wrapText="1"/>
    </xf>
    <xf numFmtId="0" fontId="3" fillId="3" borderId="3" xfId="0" applyFont="1" applyFill="1" applyBorder="1" applyAlignment="1">
      <alignment vertical="center" wrapText="1"/>
    </xf>
    <xf numFmtId="0" fontId="5" fillId="3" borderId="3" xfId="0" applyFont="1" applyFill="1" applyBorder="1" applyAlignment="1">
      <alignment vertical="center" wrapText="1"/>
    </xf>
    <xf numFmtId="0" fontId="3" fillId="4" borderId="0" xfId="0" applyFont="1" applyFill="1" applyAlignment="1">
      <alignment vertical="center" wrapText="1"/>
    </xf>
    <xf numFmtId="0" fontId="3" fillId="4" borderId="0" xfId="0" applyFont="1" applyFill="1" applyBorder="1" applyAlignment="1">
      <alignment vertical="center" wrapText="1"/>
    </xf>
    <xf numFmtId="0" fontId="6" fillId="3" borderId="3" xfId="0" applyFont="1" applyFill="1" applyBorder="1" applyAlignment="1">
      <alignment vertical="center" wrapText="1"/>
    </xf>
    <xf numFmtId="0" fontId="7" fillId="3" borderId="0" xfId="0" applyFont="1" applyFill="1" applyAlignment="1">
      <alignment vertical="center" wrapText="1"/>
    </xf>
    <xf numFmtId="0" fontId="3" fillId="5" borderId="0" xfId="0" applyFont="1" applyFill="1" applyAlignment="1">
      <alignment vertical="center" wrapText="1"/>
    </xf>
    <xf numFmtId="0" fontId="0" fillId="3" borderId="0" xfId="0" applyFill="1" applyBorder="1" applyAlignment="1">
      <alignment vertical="center"/>
    </xf>
    <xf numFmtId="0" fontId="2" fillId="0" borderId="0" xfId="0" applyFont="1" applyFill="1" applyBorder="1" applyAlignment="1">
      <alignment vertical="center"/>
    </xf>
    <xf numFmtId="0" fontId="0" fillId="3" borderId="0" xfId="0" applyFont="1" applyFill="1" applyBorder="1" applyAlignment="1">
      <alignment vertical="center"/>
    </xf>
    <xf numFmtId="0" fontId="4" fillId="3" borderId="0" xfId="0" applyFont="1" applyFill="1" applyBorder="1" applyAlignment="1">
      <alignment vertical="center"/>
    </xf>
    <xf numFmtId="0" fontId="6" fillId="3" borderId="0" xfId="0" applyFont="1" applyFill="1" applyBorder="1" applyAlignment="1">
      <alignment vertical="center"/>
    </xf>
    <xf numFmtId="0" fontId="6" fillId="3" borderId="1" xfId="0" applyFont="1" applyFill="1" applyBorder="1" applyAlignment="1">
      <alignment vertical="center"/>
    </xf>
    <xf numFmtId="0" fontId="6" fillId="3" borderId="3" xfId="0" applyFont="1" applyFill="1" applyBorder="1" applyAlignment="1">
      <alignment vertical="center"/>
    </xf>
    <xf numFmtId="0" fontId="0" fillId="4" borderId="0" xfId="0" applyFont="1" applyFill="1" applyBorder="1" applyAlignment="1">
      <alignment vertical="center" wrapText="1"/>
    </xf>
    <xf numFmtId="0" fontId="0" fillId="4" borderId="0" xfId="0" applyFont="1" applyFill="1" applyBorder="1" applyAlignment="1">
      <alignment vertical="center"/>
    </xf>
    <xf numFmtId="0" fontId="0" fillId="3" borderId="0" xfId="0" applyFont="1" applyFill="1" applyBorder="1" applyAlignment="1">
      <alignment vertical="center" wrapText="1"/>
    </xf>
    <xf numFmtId="0" fontId="8" fillId="0" borderId="0" xfId="0" applyFont="1" applyAlignment="1">
      <alignment vertical="center"/>
    </xf>
    <xf numFmtId="0" fontId="8" fillId="0" borderId="0" xfId="0" applyFont="1">
      <alignment vertical="center"/>
    </xf>
    <xf numFmtId="0" fontId="0" fillId="6" borderId="0" xfId="0" applyFill="1">
      <alignment vertical="center"/>
    </xf>
    <xf numFmtId="0" fontId="8" fillId="6" borderId="0" xfId="0" applyFont="1" applyFill="1">
      <alignment vertical="center"/>
    </xf>
    <xf numFmtId="0" fontId="3" fillId="7" borderId="0" xfId="0" applyFont="1" applyFill="1" applyAlignment="1">
      <alignment vertical="center" wrapText="1"/>
    </xf>
    <xf numFmtId="0" fontId="3" fillId="7" borderId="3" xfId="0" applyFont="1" applyFill="1" applyBorder="1" applyAlignment="1">
      <alignment horizontal="left" vertical="top" wrapText="1"/>
    </xf>
    <xf numFmtId="0" fontId="4" fillId="8" borderId="0" xfId="0" applyFont="1" applyFill="1" applyBorder="1" applyAlignment="1">
      <alignment vertical="center"/>
    </xf>
    <xf numFmtId="0" fontId="3" fillId="8" borderId="3" xfId="0" applyFont="1" applyFill="1" applyBorder="1" applyAlignment="1">
      <alignment horizontal="left" vertical="top" wrapText="1"/>
    </xf>
    <xf numFmtId="0" fontId="3" fillId="8" borderId="0" xfId="0" applyFont="1" applyFill="1" applyAlignment="1">
      <alignment vertical="center" wrapText="1"/>
    </xf>
    <xf numFmtId="0" fontId="9" fillId="3" borderId="0" xfId="0" applyFont="1" applyFill="1" applyAlignment="1">
      <alignment vertical="center" wrapText="1"/>
    </xf>
    <xf numFmtId="0" fontId="9" fillId="3" borderId="3"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3" borderId="4" xfId="0" applyFont="1" applyFill="1" applyBorder="1" applyAlignment="1">
      <alignment vertical="center" wrapText="1"/>
    </xf>
    <xf numFmtId="0" fontId="3" fillId="3" borderId="5" xfId="0" applyFont="1" applyFill="1" applyBorder="1" applyAlignment="1">
      <alignment horizontal="left" vertical="top" wrapText="1"/>
    </xf>
    <xf numFmtId="0" fontId="10" fillId="0" borderId="0" xfId="0" applyFont="1" applyAlignment="1">
      <alignment horizontal="center" vertical="center"/>
    </xf>
    <xf numFmtId="0" fontId="8" fillId="0" borderId="0" xfId="45"/>
    <xf numFmtId="0" fontId="8" fillId="0" borderId="0" xfId="55"/>
    <xf numFmtId="0" fontId="8" fillId="0" borderId="0" xfId="55" applyAlignment="1">
      <alignment shrinkToFit="1"/>
    </xf>
    <xf numFmtId="0" fontId="8" fillId="0" borderId="0" xfId="55" applyAlignment="1">
      <alignment wrapText="1"/>
    </xf>
    <xf numFmtId="0" fontId="8" fillId="8" borderId="0" xfId="55" applyFill="1" applyAlignment="1">
      <alignment wrapText="1"/>
    </xf>
    <xf numFmtId="0" fontId="1" fillId="9" borderId="0" xfId="0" applyFont="1" applyFill="1" applyAlignment="1">
      <alignment vertical="center" wrapText="1"/>
    </xf>
    <xf numFmtId="0" fontId="0" fillId="9" borderId="0" xfId="52" applyFill="1" applyAlignment="1">
      <alignment horizontal="center" vertical="center" wrapText="1"/>
    </xf>
    <xf numFmtId="0" fontId="0" fillId="9" borderId="0" xfId="0" applyFill="1" applyAlignment="1">
      <alignment vertical="center"/>
    </xf>
    <xf numFmtId="0" fontId="0" fillId="9" borderId="0" xfId="0" applyFill="1" applyAlignment="1">
      <alignment vertical="center" wrapText="1"/>
    </xf>
    <xf numFmtId="0" fontId="0" fillId="9" borderId="0" xfId="0" applyFill="1">
      <alignment vertical="center"/>
    </xf>
    <xf numFmtId="0" fontId="2" fillId="9" borderId="0" xfId="0" applyFont="1" applyFill="1" applyAlignment="1">
      <alignment vertical="center" wrapText="1"/>
    </xf>
    <xf numFmtId="0" fontId="3" fillId="9" borderId="0" xfId="0" applyFont="1" applyFill="1" applyAlignment="1">
      <alignment vertical="center" wrapText="1"/>
    </xf>
    <xf numFmtId="0" fontId="0" fillId="0" borderId="0" xfId="0" applyAlignment="1">
      <alignment horizontal="center" vertical="center" wrapText="1"/>
    </xf>
    <xf numFmtId="0" fontId="0" fillId="10" borderId="0" xfId="52" applyFont="1" applyFill="1" applyAlignment="1">
      <alignment vertical="center" wrapText="1"/>
    </xf>
    <xf numFmtId="0" fontId="0" fillId="9" borderId="0" xfId="52" applyFill="1" applyAlignment="1">
      <alignment vertical="center" wrapText="1"/>
    </xf>
    <xf numFmtId="0" fontId="0" fillId="9" borderId="0" xfId="0" applyFont="1" applyFill="1" applyAlignment="1">
      <alignment horizontal="center" vertical="center" wrapText="1"/>
    </xf>
    <xf numFmtId="0" fontId="0" fillId="9" borderId="0" xfId="0" applyFill="1" applyAlignment="1">
      <alignment horizontal="center" vertical="center" wrapText="1"/>
    </xf>
    <xf numFmtId="0" fontId="11" fillId="9" borderId="0" xfId="0" applyFont="1" applyFill="1" applyAlignment="1">
      <alignment horizontal="center" vertical="center" wrapText="1"/>
    </xf>
    <xf numFmtId="0" fontId="0" fillId="9" borderId="0" xfId="52" applyFont="1" applyFill="1" applyAlignment="1">
      <alignment vertical="center" wrapText="1"/>
    </xf>
    <xf numFmtId="0" fontId="3" fillId="9" borderId="1" xfId="0" applyFont="1" applyFill="1" applyBorder="1" applyAlignment="1">
      <alignment vertical="center" wrapText="1"/>
    </xf>
    <xf numFmtId="0" fontId="3" fillId="9" borderId="0" xfId="0" applyFont="1" applyFill="1" applyBorder="1" applyAlignment="1">
      <alignment vertical="center" wrapText="1"/>
    </xf>
    <xf numFmtId="0" fontId="5" fillId="9" borderId="0" xfId="0" applyFont="1" applyFill="1" applyBorder="1" applyAlignment="1">
      <alignment vertical="center" wrapText="1"/>
    </xf>
    <xf numFmtId="0" fontId="8"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8" fillId="9" borderId="0" xfId="0" applyFont="1" applyFill="1" applyBorder="1" applyAlignment="1">
      <alignment horizontal="center" vertical="center"/>
    </xf>
    <xf numFmtId="0" fontId="8" fillId="9" borderId="0" xfId="0" applyFont="1" applyFill="1" applyBorder="1" applyAlignment="1">
      <alignment horizontal="center" vertical="center" wrapText="1"/>
    </xf>
    <xf numFmtId="0" fontId="8" fillId="9" borderId="0" xfId="0" applyFont="1" applyFill="1" applyBorder="1">
      <alignment vertical="center"/>
    </xf>
    <xf numFmtId="0" fontId="0" fillId="9" borderId="0" xfId="52" applyFill="1">
      <alignment vertical="center"/>
    </xf>
    <xf numFmtId="0" fontId="8" fillId="9" borderId="0" xfId="0" applyFont="1" applyFill="1" applyBorder="1" applyAlignment="1">
      <alignment vertical="center"/>
    </xf>
    <xf numFmtId="0" fontId="8" fillId="9" borderId="0" xfId="0" applyFont="1" applyFill="1" applyBorder="1" applyAlignment="1">
      <alignment vertical="center" wrapText="1"/>
    </xf>
    <xf numFmtId="0" fontId="8" fillId="9" borderId="0" xfId="0" applyFont="1" applyFill="1" applyAlignment="1">
      <alignment horizontal="center" vertical="center" wrapText="1"/>
    </xf>
    <xf numFmtId="0" fontId="5" fillId="9" borderId="1" xfId="0" applyFont="1" applyFill="1" applyBorder="1" applyAlignment="1">
      <alignment vertical="center" wrapText="1"/>
    </xf>
    <xf numFmtId="0" fontId="3" fillId="9" borderId="2" xfId="0" applyFont="1" applyFill="1" applyBorder="1" applyAlignment="1">
      <alignment horizontal="left" vertical="top" wrapText="1"/>
    </xf>
    <xf numFmtId="0" fontId="0" fillId="8" borderId="0" xfId="0" applyFill="1" applyAlignment="1"/>
    <xf numFmtId="0" fontId="0" fillId="9" borderId="0" xfId="0" applyFill="1" applyAlignment="1"/>
    <xf numFmtId="0" fontId="5" fillId="9" borderId="0" xfId="0" applyFont="1" applyFill="1" applyAlignment="1">
      <alignment vertical="center" wrapText="1"/>
    </xf>
    <xf numFmtId="49" fontId="3" fillId="9" borderId="2" xfId="0" applyNumberFormat="1" applyFont="1" applyFill="1" applyBorder="1" applyAlignment="1">
      <alignment vertical="center" wrapText="1"/>
    </xf>
    <xf numFmtId="0" fontId="3" fillId="9" borderId="2" xfId="0" applyFont="1" applyFill="1" applyBorder="1" applyAlignment="1">
      <alignment vertical="center" wrapText="1"/>
    </xf>
    <xf numFmtId="0" fontId="3" fillId="9" borderId="0" xfId="0" applyFont="1" applyFill="1" applyAlignment="1">
      <alignment horizontal="center" vertical="center" wrapText="1"/>
    </xf>
    <xf numFmtId="0" fontId="0" fillId="0" borderId="0" xfId="0" applyFont="1" applyAlignment="1">
      <alignment horizontal="center" vertical="center" wrapText="1"/>
    </xf>
    <xf numFmtId="0" fontId="5" fillId="9" borderId="3" xfId="0" applyFont="1" applyFill="1" applyBorder="1" applyAlignment="1">
      <alignment vertical="center" wrapText="1"/>
    </xf>
    <xf numFmtId="0" fontId="11" fillId="9" borderId="0" xfId="52" applyFont="1" applyFill="1" applyAlignment="1">
      <alignment vertical="center" wrapText="1"/>
    </xf>
    <xf numFmtId="0" fontId="7" fillId="9" borderId="0" xfId="0" applyFont="1" applyFill="1" applyAlignment="1">
      <alignment vertical="center" wrapText="1"/>
    </xf>
    <xf numFmtId="0" fontId="0" fillId="9" borderId="1" xfId="0" applyFill="1" applyBorder="1" applyAlignment="1">
      <alignment vertical="center"/>
    </xf>
    <xf numFmtId="0" fontId="0" fillId="9" borderId="0" xfId="0" applyFill="1" applyBorder="1" applyAlignment="1">
      <alignment vertical="center"/>
    </xf>
    <xf numFmtId="0" fontId="6" fillId="9" borderId="0" xfId="0" applyFont="1" applyFill="1" applyBorder="1" applyAlignment="1">
      <alignment vertical="center"/>
    </xf>
    <xf numFmtId="0" fontId="6" fillId="9" borderId="1" xfId="0" applyFont="1" applyFill="1" applyBorder="1" applyAlignment="1">
      <alignment vertical="center"/>
    </xf>
    <xf numFmtId="0" fontId="0" fillId="9" borderId="3" xfId="0" applyFill="1" applyBorder="1" applyAlignment="1">
      <alignment horizontal="left" vertical="top"/>
    </xf>
    <xf numFmtId="0" fontId="0" fillId="9" borderId="3" xfId="0" applyFill="1" applyBorder="1" applyAlignment="1">
      <alignment vertical="center"/>
    </xf>
    <xf numFmtId="0" fontId="2" fillId="9" borderId="0" xfId="49" applyFont="1" applyFill="1" applyAlignment="1">
      <alignment vertical="center" wrapText="1"/>
    </xf>
    <xf numFmtId="0" fontId="3" fillId="9" borderId="0" xfId="49" applyFont="1" applyFill="1" applyAlignment="1">
      <alignment vertical="center" wrapText="1"/>
    </xf>
    <xf numFmtId="0" fontId="3" fillId="9" borderId="1" xfId="49" applyFont="1" applyFill="1" applyBorder="1" applyAlignment="1">
      <alignment vertical="center" wrapText="1"/>
    </xf>
    <xf numFmtId="0" fontId="3" fillId="9" borderId="0" xfId="49" applyFont="1" applyFill="1" applyBorder="1" applyAlignment="1">
      <alignment vertical="center" wrapText="1"/>
    </xf>
    <xf numFmtId="0" fontId="5" fillId="9" borderId="0" xfId="49" applyFont="1" applyFill="1" applyBorder="1" applyAlignment="1">
      <alignment vertical="center" wrapText="1"/>
    </xf>
    <xf numFmtId="0" fontId="0" fillId="9" borderId="0" xfId="0" applyFont="1" applyFill="1" applyBorder="1">
      <alignment vertical="center"/>
    </xf>
    <xf numFmtId="0" fontId="3" fillId="9" borderId="3" xfId="0" applyFont="1" applyFill="1" applyBorder="1" applyAlignment="1">
      <alignment horizontal="left" vertical="top" wrapText="1"/>
    </xf>
    <xf numFmtId="0" fontId="5" fillId="9" borderId="1" xfId="49" applyFont="1" applyFill="1" applyBorder="1" applyAlignment="1">
      <alignment vertical="center" wrapText="1"/>
    </xf>
    <xf numFmtId="0" fontId="3" fillId="9" borderId="3" xfId="49" applyFont="1" applyFill="1" applyBorder="1" applyAlignment="1">
      <alignment horizontal="left" vertical="top" wrapText="1"/>
    </xf>
    <xf numFmtId="0" fontId="3" fillId="9" borderId="3" xfId="0" applyFont="1" applyFill="1" applyBorder="1" applyAlignment="1">
      <alignment vertical="center" wrapText="1"/>
    </xf>
    <xf numFmtId="0" fontId="9" fillId="9" borderId="0" xfId="0" applyFont="1" applyFill="1" applyAlignment="1">
      <alignment vertical="center" wrapText="1"/>
    </xf>
    <xf numFmtId="0" fontId="3" fillId="9" borderId="3" xfId="49" applyFont="1" applyFill="1" applyBorder="1" applyAlignment="1">
      <alignment vertical="center" wrapText="1"/>
    </xf>
    <xf numFmtId="0" fontId="0" fillId="9" borderId="0" xfId="52" applyFont="1" applyFill="1" applyAlignment="1">
      <alignment horizontal="center" vertical="center" wrapText="1"/>
    </xf>
    <xf numFmtId="0" fontId="7" fillId="9" borderId="0" xfId="49" applyFont="1" applyFill="1" applyAlignment="1">
      <alignment vertical="center" wrapText="1"/>
    </xf>
  </cellXfs>
  <cellStyles count="5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常规 2 2" xfId="45"/>
    <cellStyle name="40% - 强调文字颜色 5" xfId="46" builtinId="47"/>
    <cellStyle name="60% - 强调文字颜色 5" xfId="47" builtinId="48"/>
    <cellStyle name="强调文字颜色 6" xfId="48" builtinId="49"/>
    <cellStyle name="常规 2 3" xfId="49"/>
    <cellStyle name="40% - 强调文字颜色 6" xfId="50" builtinId="51"/>
    <cellStyle name="60% - 强调文字颜色 6" xfId="51" builtinId="52"/>
    <cellStyle name="常规 2" xfId="52"/>
    <cellStyle name="常规 2 4" xfId="53"/>
    <cellStyle name="常规 3" xfId="54"/>
    <cellStyle name="常规 4" xfId="55"/>
    <cellStyle name="常规 5" xfId="56"/>
  </cellStyles>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170"/>
  <sheetViews>
    <sheetView tabSelected="1" workbookViewId="0">
      <pane xSplit="3" topLeftCell="AC1" activePane="topRight" state="frozen"/>
      <selection/>
      <selection pane="topRight" activeCell="AH44" sqref="AH44"/>
    </sheetView>
  </sheetViews>
  <sheetFormatPr defaultColWidth="9" defaultRowHeight="120" customHeight="1"/>
  <cols>
    <col min="1" max="27" width="9" style="64"/>
    <col min="28" max="28" width="26.75" style="64" customWidth="1"/>
    <col min="29" max="29" width="9" style="64"/>
    <col min="30" max="30" width="35" style="64" customWidth="1"/>
    <col min="31" max="31" width="35.625" style="64" customWidth="1"/>
    <col min="32" max="32" width="30.125" style="64" customWidth="1"/>
    <col min="33" max="33" width="9" style="64"/>
    <col min="34" max="34" width="23.625" style="64" customWidth="1"/>
    <col min="35" max="36" width="9" style="64"/>
    <col min="37" max="37" width="32" style="64" customWidth="1"/>
    <col min="38" max="38" width="23.625" style="64" customWidth="1"/>
    <col min="39" max="39" width="11.25" style="64" customWidth="1"/>
    <col min="40" max="45" width="9" style="64"/>
    <col min="46" max="46" width="34.125" style="64" customWidth="1"/>
    <col min="47" max="16384" width="9" style="64"/>
  </cols>
  <sheetData>
    <row r="1" s="60" customFormat="1" customHeight="1" spans="1:46">
      <c r="A1" s="65" t="s">
        <v>0</v>
      </c>
      <c r="B1" s="66" t="s">
        <v>1</v>
      </c>
      <c r="C1" s="66" t="s">
        <v>2</v>
      </c>
      <c r="D1" s="66" t="s">
        <v>3</v>
      </c>
      <c r="E1" s="66" t="s">
        <v>4</v>
      </c>
      <c r="F1" s="66" t="s">
        <v>5</v>
      </c>
      <c r="G1" s="66" t="s">
        <v>6</v>
      </c>
      <c r="H1" s="66" t="s">
        <v>7</v>
      </c>
      <c r="I1" s="66" t="s">
        <v>8</v>
      </c>
      <c r="J1" s="74" t="s">
        <v>9</v>
      </c>
      <c r="K1" s="75" t="s">
        <v>10</v>
      </c>
      <c r="L1" s="75" t="s">
        <v>11</v>
      </c>
      <c r="M1" s="75" t="s">
        <v>12</v>
      </c>
      <c r="N1" s="75" t="s">
        <v>13</v>
      </c>
      <c r="O1" s="76" t="s">
        <v>14</v>
      </c>
      <c r="P1" s="76" t="s">
        <v>15</v>
      </c>
      <c r="Q1" s="76" t="s">
        <v>16</v>
      </c>
      <c r="R1" s="86" t="s">
        <v>17</v>
      </c>
      <c r="S1" s="66" t="s">
        <v>18</v>
      </c>
      <c r="T1" s="66" t="s">
        <v>19</v>
      </c>
      <c r="U1" s="66" t="s">
        <v>20</v>
      </c>
      <c r="V1" s="66" t="s">
        <v>21</v>
      </c>
      <c r="W1" s="66" t="s">
        <v>22</v>
      </c>
      <c r="X1" s="87" t="s">
        <v>23</v>
      </c>
      <c r="Y1" s="66" t="s">
        <v>24</v>
      </c>
      <c r="Z1" s="91" t="s">
        <v>25</v>
      </c>
      <c r="AA1" s="92" t="s">
        <v>26</v>
      </c>
      <c r="AB1" s="66" t="s">
        <v>27</v>
      </c>
      <c r="AC1" s="66" t="s">
        <v>28</v>
      </c>
      <c r="AD1" s="93" t="s">
        <v>29</v>
      </c>
      <c r="AE1" s="66" t="s">
        <v>30</v>
      </c>
      <c r="AF1" s="66" t="s">
        <v>31</v>
      </c>
      <c r="AG1" s="66" t="s">
        <v>32</v>
      </c>
      <c r="AH1" s="93" t="s">
        <v>33</v>
      </c>
      <c r="AI1" s="66" t="s">
        <v>34</v>
      </c>
      <c r="AJ1" s="66" t="s">
        <v>35</v>
      </c>
      <c r="AK1" s="66" t="s">
        <v>36</v>
      </c>
      <c r="AL1" s="66" t="s">
        <v>37</v>
      </c>
      <c r="AM1" s="66" t="s">
        <v>38</v>
      </c>
      <c r="AN1" s="66" t="s">
        <v>39</v>
      </c>
      <c r="AO1" s="66" t="s">
        <v>40</v>
      </c>
      <c r="AP1" s="66" t="s">
        <v>41</v>
      </c>
      <c r="AQ1" s="66" t="s">
        <v>42</v>
      </c>
      <c r="AR1" s="66" t="s">
        <v>43</v>
      </c>
      <c r="AS1" s="66" t="s">
        <v>44</v>
      </c>
      <c r="AT1" s="60" t="s">
        <v>45</v>
      </c>
    </row>
    <row r="2" s="3" customFormat="1" customHeight="1" spans="1:46">
      <c r="A2" s="4">
        <v>3001</v>
      </c>
      <c r="B2" s="67" t="s">
        <v>46</v>
      </c>
      <c r="C2" s="67" t="s">
        <v>47</v>
      </c>
      <c r="D2" s="6">
        <v>1</v>
      </c>
      <c r="E2" s="6">
        <v>1</v>
      </c>
      <c r="F2" s="68">
        <v>1</v>
      </c>
      <c r="G2" s="6">
        <v>200</v>
      </c>
      <c r="H2" s="6">
        <v>0</v>
      </c>
      <c r="I2" s="6">
        <v>0</v>
      </c>
      <c r="J2" s="77">
        <v>63096</v>
      </c>
      <c r="K2" s="7" t="s">
        <v>48</v>
      </c>
      <c r="L2" s="77">
        <v>63096</v>
      </c>
      <c r="M2" s="78" t="s">
        <v>49</v>
      </c>
      <c r="N2" s="7"/>
      <c r="O2" s="15"/>
      <c r="P2" s="15"/>
      <c r="Q2" s="15"/>
      <c r="R2" s="18"/>
      <c r="S2" s="6">
        <v>1</v>
      </c>
      <c r="T2" s="6">
        <v>1</v>
      </c>
      <c r="U2" s="19"/>
      <c r="V2" s="6"/>
      <c r="W2" s="6"/>
      <c r="X2" s="88">
        <v>100</v>
      </c>
      <c r="Y2" s="24">
        <v>50</v>
      </c>
      <c r="Z2" s="24">
        <v>50</v>
      </c>
      <c r="AA2" s="24">
        <v>50</v>
      </c>
      <c r="AB2" s="6"/>
      <c r="AC2" s="6"/>
      <c r="AD2" s="68" t="s">
        <v>50</v>
      </c>
      <c r="AE2" s="67"/>
      <c r="AF2" s="94" t="s">
        <v>51</v>
      </c>
      <c r="AG2" s="67"/>
      <c r="AH2" s="68" t="s">
        <v>52</v>
      </c>
      <c r="AI2" s="68"/>
      <c r="AJ2" s="68"/>
      <c r="AK2" s="68" t="s">
        <v>53</v>
      </c>
      <c r="AL2" s="68" t="s">
        <v>54</v>
      </c>
      <c r="AM2" s="68"/>
      <c r="AN2" s="68">
        <v>1</v>
      </c>
      <c r="AO2" s="68">
        <v>0</v>
      </c>
      <c r="AP2" s="68">
        <v>1</v>
      </c>
      <c r="AQ2" s="68">
        <v>1</v>
      </c>
      <c r="AR2" s="68">
        <v>0</v>
      </c>
      <c r="AS2" s="68">
        <v>0</v>
      </c>
      <c r="AT2" s="68" t="str">
        <f>"{s_taskTalk,{"&amp;J2&amp;","&amp;L2&amp;"}}"</f>
        <v>{s_taskTalk,{63096,63096}}</v>
      </c>
    </row>
    <row r="3" s="60" customFormat="1" customHeight="1" spans="1:46">
      <c r="A3" s="69">
        <v>7200</v>
      </c>
      <c r="B3" s="70" t="s">
        <v>55</v>
      </c>
      <c r="C3" s="70" t="s">
        <v>56</v>
      </c>
      <c r="D3" s="69">
        <v>1</v>
      </c>
      <c r="E3" s="69">
        <v>1</v>
      </c>
      <c r="F3" s="69">
        <v>1</v>
      </c>
      <c r="G3" s="69">
        <v>200</v>
      </c>
      <c r="H3" s="65">
        <v>3001</v>
      </c>
      <c r="I3" s="69">
        <v>0</v>
      </c>
      <c r="J3" s="79">
        <v>63096</v>
      </c>
      <c r="K3" s="80" t="s">
        <v>49</v>
      </c>
      <c r="L3" s="79">
        <v>63096</v>
      </c>
      <c r="M3" s="80" t="s">
        <v>49</v>
      </c>
      <c r="N3" s="69"/>
      <c r="O3" s="69">
        <v>63093</v>
      </c>
      <c r="P3" s="69"/>
      <c r="Q3" s="81"/>
      <c r="R3" s="69"/>
      <c r="S3" s="69">
        <v>1</v>
      </c>
      <c r="T3" s="69">
        <v>0</v>
      </c>
      <c r="U3" s="69"/>
      <c r="V3" s="69"/>
      <c r="W3" s="69"/>
      <c r="X3" s="89">
        <v>200</v>
      </c>
      <c r="Y3" s="95">
        <v>50</v>
      </c>
      <c r="Z3" s="95">
        <v>50</v>
      </c>
      <c r="AA3" s="95">
        <v>50</v>
      </c>
      <c r="AB3" s="69"/>
      <c r="AC3" s="69"/>
      <c r="AD3" s="73" t="s">
        <v>57</v>
      </c>
      <c r="AE3" s="70" t="s">
        <v>58</v>
      </c>
      <c r="AF3" s="70" t="s">
        <v>59</v>
      </c>
      <c r="AG3" s="70" t="s">
        <v>60</v>
      </c>
      <c r="AH3" s="73" t="s">
        <v>61</v>
      </c>
      <c r="AI3" s="69"/>
      <c r="AJ3" s="69"/>
      <c r="AK3" s="75" t="s">
        <v>62</v>
      </c>
      <c r="AL3" s="73" t="s">
        <v>63</v>
      </c>
      <c r="AM3" s="69"/>
      <c r="AN3" s="69">
        <v>1</v>
      </c>
      <c r="AO3" s="69">
        <v>0</v>
      </c>
      <c r="AP3" s="69">
        <v>1</v>
      </c>
      <c r="AQ3" s="69">
        <v>1</v>
      </c>
      <c r="AR3" s="69">
        <v>0</v>
      </c>
      <c r="AS3" s="69">
        <v>0</v>
      </c>
      <c r="AT3" s="69" t="str">
        <f t="shared" ref="AT2:AT11" si="0">"{s_taskTalk,{"&amp;J3&amp;","&amp;L3&amp;"}}"</f>
        <v>{s_taskTalk,{63096,63096}}</v>
      </c>
    </row>
    <row r="4" s="60" customFormat="1" customHeight="1" spans="1:46">
      <c r="A4" s="69">
        <v>8201</v>
      </c>
      <c r="B4" s="70" t="s">
        <v>55</v>
      </c>
      <c r="C4" s="70" t="s">
        <v>56</v>
      </c>
      <c r="D4" s="69">
        <v>1</v>
      </c>
      <c r="E4" s="69">
        <v>1</v>
      </c>
      <c r="F4" s="69">
        <v>1</v>
      </c>
      <c r="G4" s="69">
        <v>200</v>
      </c>
      <c r="H4" s="65">
        <v>0</v>
      </c>
      <c r="I4" s="69">
        <v>0</v>
      </c>
      <c r="J4" s="79">
        <v>63096</v>
      </c>
      <c r="K4" s="80" t="s">
        <v>49</v>
      </c>
      <c r="L4" s="79">
        <v>63096</v>
      </c>
      <c r="M4" s="80" t="s">
        <v>49</v>
      </c>
      <c r="N4" s="69"/>
      <c r="O4" s="69">
        <v>63093</v>
      </c>
      <c r="P4" s="69"/>
      <c r="Q4" s="81"/>
      <c r="R4" s="69"/>
      <c r="S4" s="69">
        <v>1</v>
      </c>
      <c r="T4" s="69">
        <v>0</v>
      </c>
      <c r="U4" s="69"/>
      <c r="V4" s="69"/>
      <c r="W4" s="69"/>
      <c r="X4" s="89">
        <v>200</v>
      </c>
      <c r="Y4" s="95">
        <v>50</v>
      </c>
      <c r="Z4" s="95">
        <v>50</v>
      </c>
      <c r="AA4" s="95">
        <v>50</v>
      </c>
      <c r="AB4" s="69"/>
      <c r="AC4" s="69"/>
      <c r="AD4" s="73" t="s">
        <v>57</v>
      </c>
      <c r="AE4" s="70" t="s">
        <v>58</v>
      </c>
      <c r="AF4" s="70" t="s">
        <v>59</v>
      </c>
      <c r="AG4" s="70" t="s">
        <v>60</v>
      </c>
      <c r="AH4" s="73" t="s">
        <v>61</v>
      </c>
      <c r="AI4" s="69"/>
      <c r="AJ4" s="69"/>
      <c r="AK4" s="75" t="s">
        <v>62</v>
      </c>
      <c r="AL4" s="73" t="s">
        <v>63</v>
      </c>
      <c r="AM4" s="69"/>
      <c r="AN4" s="69">
        <v>1</v>
      </c>
      <c r="AO4" s="69">
        <v>0</v>
      </c>
      <c r="AP4" s="69">
        <v>1</v>
      </c>
      <c r="AQ4" s="69">
        <v>1</v>
      </c>
      <c r="AR4" s="69">
        <v>0</v>
      </c>
      <c r="AS4" s="69">
        <v>0</v>
      </c>
      <c r="AT4" s="69" t="str">
        <f t="shared" si="0"/>
        <v>{s_taskTalk,{63096,63096}}</v>
      </c>
    </row>
    <row r="5" s="60" customFormat="1" customHeight="1" spans="1:46">
      <c r="A5" s="69">
        <v>8202</v>
      </c>
      <c r="B5" s="70" t="s">
        <v>55</v>
      </c>
      <c r="C5" s="70" t="s">
        <v>56</v>
      </c>
      <c r="D5" s="69">
        <v>1</v>
      </c>
      <c r="E5" s="69">
        <v>1</v>
      </c>
      <c r="F5" s="69">
        <v>1</v>
      </c>
      <c r="G5" s="69">
        <v>200</v>
      </c>
      <c r="H5" s="65">
        <v>0</v>
      </c>
      <c r="I5" s="69">
        <v>0</v>
      </c>
      <c r="J5" s="79">
        <v>63096</v>
      </c>
      <c r="K5" s="80" t="s">
        <v>49</v>
      </c>
      <c r="L5" s="79">
        <v>63096</v>
      </c>
      <c r="M5" s="80" t="s">
        <v>49</v>
      </c>
      <c r="N5" s="69"/>
      <c r="O5" s="69">
        <v>63093</v>
      </c>
      <c r="P5" s="69"/>
      <c r="Q5" s="81"/>
      <c r="R5" s="69"/>
      <c r="S5" s="69">
        <v>1</v>
      </c>
      <c r="T5" s="69">
        <v>0</v>
      </c>
      <c r="U5" s="69"/>
      <c r="V5" s="69"/>
      <c r="W5" s="69"/>
      <c r="X5" s="89">
        <v>200</v>
      </c>
      <c r="Y5" s="95">
        <v>50</v>
      </c>
      <c r="Z5" s="95">
        <v>50</v>
      </c>
      <c r="AA5" s="95">
        <v>50</v>
      </c>
      <c r="AB5" s="69"/>
      <c r="AC5" s="69"/>
      <c r="AD5" s="73" t="s">
        <v>57</v>
      </c>
      <c r="AE5" s="70" t="s">
        <v>58</v>
      </c>
      <c r="AF5" s="70" t="s">
        <v>59</v>
      </c>
      <c r="AG5" s="70" t="s">
        <v>60</v>
      </c>
      <c r="AH5" s="73" t="s">
        <v>61</v>
      </c>
      <c r="AI5" s="69"/>
      <c r="AJ5" s="69"/>
      <c r="AK5" s="75" t="s">
        <v>62</v>
      </c>
      <c r="AL5" s="73" t="s">
        <v>63</v>
      </c>
      <c r="AM5" s="69"/>
      <c r="AN5" s="69">
        <v>1</v>
      </c>
      <c r="AO5" s="69">
        <v>0</v>
      </c>
      <c r="AP5" s="69">
        <v>1</v>
      </c>
      <c r="AQ5" s="69">
        <v>1</v>
      </c>
      <c r="AR5" s="69">
        <v>0</v>
      </c>
      <c r="AS5" s="69">
        <v>0</v>
      </c>
      <c r="AT5" s="69" t="str">
        <f t="shared" si="0"/>
        <v>{s_taskTalk,{63096,63096}}</v>
      </c>
    </row>
    <row r="6" s="60" customFormat="1" customHeight="1" spans="1:46">
      <c r="A6" s="69">
        <v>8203</v>
      </c>
      <c r="B6" s="70" t="s">
        <v>55</v>
      </c>
      <c r="C6" s="70" t="s">
        <v>56</v>
      </c>
      <c r="D6" s="69">
        <v>1</v>
      </c>
      <c r="E6" s="69">
        <v>1</v>
      </c>
      <c r="F6" s="69">
        <v>1</v>
      </c>
      <c r="G6" s="69">
        <v>200</v>
      </c>
      <c r="H6" s="65">
        <v>0</v>
      </c>
      <c r="I6" s="69">
        <v>0</v>
      </c>
      <c r="J6" s="79">
        <v>63096</v>
      </c>
      <c r="K6" s="80" t="s">
        <v>49</v>
      </c>
      <c r="L6" s="79">
        <v>63096</v>
      </c>
      <c r="M6" s="80" t="s">
        <v>49</v>
      </c>
      <c r="N6" s="69"/>
      <c r="O6" s="69">
        <v>63093</v>
      </c>
      <c r="P6" s="69"/>
      <c r="Q6" s="81"/>
      <c r="R6" s="69"/>
      <c r="S6" s="69">
        <v>1</v>
      </c>
      <c r="T6" s="69">
        <v>0</v>
      </c>
      <c r="U6" s="69"/>
      <c r="V6" s="69"/>
      <c r="W6" s="69"/>
      <c r="X6" s="89">
        <v>200</v>
      </c>
      <c r="Y6" s="95">
        <v>50</v>
      </c>
      <c r="Z6" s="95">
        <v>50</v>
      </c>
      <c r="AA6" s="95">
        <v>50</v>
      </c>
      <c r="AB6" s="69"/>
      <c r="AC6" s="69"/>
      <c r="AD6" s="73" t="s">
        <v>57</v>
      </c>
      <c r="AE6" s="70" t="s">
        <v>58</v>
      </c>
      <c r="AF6" s="70" t="s">
        <v>59</v>
      </c>
      <c r="AG6" s="70" t="s">
        <v>60</v>
      </c>
      <c r="AH6" s="73" t="s">
        <v>61</v>
      </c>
      <c r="AI6" s="69"/>
      <c r="AJ6" s="69"/>
      <c r="AK6" s="75" t="s">
        <v>62</v>
      </c>
      <c r="AL6" s="73" t="s">
        <v>63</v>
      </c>
      <c r="AM6" s="69"/>
      <c r="AN6" s="69">
        <v>1</v>
      </c>
      <c r="AO6" s="69">
        <v>0</v>
      </c>
      <c r="AP6" s="69">
        <v>1</v>
      </c>
      <c r="AQ6" s="69">
        <v>1</v>
      </c>
      <c r="AR6" s="69">
        <v>0</v>
      </c>
      <c r="AS6" s="69">
        <v>0</v>
      </c>
      <c r="AT6" s="69" t="str">
        <f t="shared" si="0"/>
        <v>{s_taskTalk,{63096,63096}}</v>
      </c>
    </row>
    <row r="7" s="60" customFormat="1" customHeight="1" spans="1:46">
      <c r="A7" s="69">
        <v>8204</v>
      </c>
      <c r="B7" s="70" t="s">
        <v>55</v>
      </c>
      <c r="C7" s="70" t="s">
        <v>56</v>
      </c>
      <c r="D7" s="69">
        <v>1</v>
      </c>
      <c r="E7" s="69">
        <v>1</v>
      </c>
      <c r="F7" s="69">
        <v>1</v>
      </c>
      <c r="G7" s="69">
        <v>200</v>
      </c>
      <c r="H7" s="65">
        <v>0</v>
      </c>
      <c r="I7" s="69">
        <v>0</v>
      </c>
      <c r="J7" s="79">
        <v>63096</v>
      </c>
      <c r="K7" s="80" t="s">
        <v>49</v>
      </c>
      <c r="L7" s="79">
        <v>63096</v>
      </c>
      <c r="M7" s="80" t="s">
        <v>49</v>
      </c>
      <c r="N7" s="69"/>
      <c r="O7" s="69">
        <v>63093</v>
      </c>
      <c r="P7" s="69"/>
      <c r="Q7" s="81"/>
      <c r="R7" s="69"/>
      <c r="S7" s="69">
        <v>1</v>
      </c>
      <c r="T7" s="69">
        <v>0</v>
      </c>
      <c r="U7" s="69"/>
      <c r="V7" s="69"/>
      <c r="W7" s="69"/>
      <c r="X7" s="89">
        <v>200</v>
      </c>
      <c r="Y7" s="95">
        <v>50</v>
      </c>
      <c r="Z7" s="95">
        <v>50</v>
      </c>
      <c r="AA7" s="95">
        <v>50</v>
      </c>
      <c r="AB7" s="69"/>
      <c r="AC7" s="69"/>
      <c r="AD7" s="73" t="s">
        <v>57</v>
      </c>
      <c r="AE7" s="70" t="s">
        <v>58</v>
      </c>
      <c r="AF7" s="70" t="s">
        <v>59</v>
      </c>
      <c r="AG7" s="70" t="s">
        <v>60</v>
      </c>
      <c r="AH7" s="73" t="s">
        <v>61</v>
      </c>
      <c r="AI7" s="69"/>
      <c r="AJ7" s="69"/>
      <c r="AK7" s="75" t="s">
        <v>62</v>
      </c>
      <c r="AL7" s="73" t="s">
        <v>63</v>
      </c>
      <c r="AM7" s="69"/>
      <c r="AN7" s="69">
        <v>1</v>
      </c>
      <c r="AO7" s="69">
        <v>0</v>
      </c>
      <c r="AP7" s="69">
        <v>1</v>
      </c>
      <c r="AQ7" s="69">
        <v>1</v>
      </c>
      <c r="AR7" s="69">
        <v>0</v>
      </c>
      <c r="AS7" s="69">
        <v>0</v>
      </c>
      <c r="AT7" s="69" t="str">
        <f t="shared" si="0"/>
        <v>{s_taskTalk,{63096,63096}}</v>
      </c>
    </row>
    <row r="8" s="60" customFormat="1" customHeight="1" spans="1:46">
      <c r="A8" s="65">
        <v>7201</v>
      </c>
      <c r="B8" s="66" t="s">
        <v>64</v>
      </c>
      <c r="C8" s="70" t="s">
        <v>65</v>
      </c>
      <c r="D8" s="66">
        <v>1</v>
      </c>
      <c r="E8" s="66">
        <v>1</v>
      </c>
      <c r="F8" s="69">
        <v>1</v>
      </c>
      <c r="G8" s="66">
        <v>200</v>
      </c>
      <c r="H8" s="66">
        <v>7200</v>
      </c>
      <c r="I8" s="66">
        <v>0</v>
      </c>
      <c r="J8" s="79">
        <v>63096</v>
      </c>
      <c r="K8" s="80" t="s">
        <v>49</v>
      </c>
      <c r="L8" s="79">
        <v>63096</v>
      </c>
      <c r="M8" s="80" t="s">
        <v>49</v>
      </c>
      <c r="N8" s="75"/>
      <c r="O8" s="69"/>
      <c r="P8" s="76"/>
      <c r="Q8" s="76"/>
      <c r="R8" s="86"/>
      <c r="S8" s="66">
        <v>1</v>
      </c>
      <c r="T8" s="66">
        <v>1</v>
      </c>
      <c r="U8" s="90"/>
      <c r="V8" s="66"/>
      <c r="W8" s="66"/>
      <c r="X8" s="89">
        <v>200</v>
      </c>
      <c r="Y8" s="95">
        <v>50</v>
      </c>
      <c r="Z8" s="95">
        <v>50</v>
      </c>
      <c r="AA8" s="95">
        <v>50</v>
      </c>
      <c r="AB8" s="66"/>
      <c r="AC8" s="66"/>
      <c r="AD8" s="73" t="s">
        <v>66</v>
      </c>
      <c r="AE8" s="70" t="s">
        <v>67</v>
      </c>
      <c r="AF8" s="70" t="s">
        <v>68</v>
      </c>
      <c r="AG8" s="71"/>
      <c r="AH8" s="73" t="s">
        <v>52</v>
      </c>
      <c r="AI8" s="69"/>
      <c r="AJ8" s="69"/>
      <c r="AK8" s="73" t="s">
        <v>69</v>
      </c>
      <c r="AL8" s="73" t="s">
        <v>70</v>
      </c>
      <c r="AM8" s="69"/>
      <c r="AN8" s="69">
        <v>1</v>
      </c>
      <c r="AO8" s="69">
        <v>0</v>
      </c>
      <c r="AP8" s="69">
        <v>1</v>
      </c>
      <c r="AQ8" s="69">
        <v>1</v>
      </c>
      <c r="AR8" s="69">
        <v>0</v>
      </c>
      <c r="AS8" s="69">
        <v>0</v>
      </c>
      <c r="AT8" s="69" t="str">
        <f t="shared" si="0"/>
        <v>{s_taskTalk,{63096,63096}}</v>
      </c>
    </row>
    <row r="9" s="60" customFormat="1" customHeight="1" spans="1:46">
      <c r="A9" s="65">
        <v>7202</v>
      </c>
      <c r="B9" s="66" t="s">
        <v>64</v>
      </c>
      <c r="C9" s="70" t="s">
        <v>71</v>
      </c>
      <c r="D9" s="66">
        <v>1</v>
      </c>
      <c r="E9" s="66">
        <v>1</v>
      </c>
      <c r="F9" s="69">
        <v>1</v>
      </c>
      <c r="G9" s="66">
        <v>200</v>
      </c>
      <c r="H9" s="66">
        <v>7201</v>
      </c>
      <c r="I9" s="66">
        <v>0</v>
      </c>
      <c r="J9" s="79">
        <v>63096</v>
      </c>
      <c r="K9" s="80" t="s">
        <v>49</v>
      </c>
      <c r="L9" s="79">
        <v>63097</v>
      </c>
      <c r="M9" s="80" t="s">
        <v>72</v>
      </c>
      <c r="N9" s="75"/>
      <c r="O9" s="69"/>
      <c r="P9" s="76"/>
      <c r="Q9" s="76"/>
      <c r="R9" s="86"/>
      <c r="S9" s="66">
        <v>1</v>
      </c>
      <c r="T9" s="66">
        <v>1</v>
      </c>
      <c r="U9" s="90"/>
      <c r="V9" s="66"/>
      <c r="W9" s="66"/>
      <c r="X9" s="89">
        <v>200</v>
      </c>
      <c r="Y9" s="95">
        <v>50</v>
      </c>
      <c r="Z9" s="95">
        <v>50</v>
      </c>
      <c r="AA9" s="95">
        <v>50</v>
      </c>
      <c r="AB9" s="66"/>
      <c r="AC9" s="66"/>
      <c r="AD9" s="73" t="s">
        <v>73</v>
      </c>
      <c r="AE9" s="70" t="s">
        <v>74</v>
      </c>
      <c r="AF9" s="72" t="s">
        <v>75</v>
      </c>
      <c r="AG9" s="70" t="s">
        <v>76</v>
      </c>
      <c r="AH9" s="73" t="s">
        <v>52</v>
      </c>
      <c r="AI9" s="69"/>
      <c r="AJ9" s="69"/>
      <c r="AK9" s="73" t="s">
        <v>77</v>
      </c>
      <c r="AL9" s="73" t="s">
        <v>78</v>
      </c>
      <c r="AM9" s="69"/>
      <c r="AN9" s="69">
        <v>1</v>
      </c>
      <c r="AO9" s="69">
        <v>0</v>
      </c>
      <c r="AP9" s="69">
        <v>1</v>
      </c>
      <c r="AQ9" s="69">
        <v>1</v>
      </c>
      <c r="AR9" s="69">
        <v>0</v>
      </c>
      <c r="AS9" s="69">
        <v>0</v>
      </c>
      <c r="AT9" s="69" t="str">
        <f t="shared" si="0"/>
        <v>{s_taskTalk,{63096,63097}}</v>
      </c>
    </row>
    <row r="10" s="60" customFormat="1" customHeight="1" spans="1:46">
      <c r="A10" s="65">
        <v>7203</v>
      </c>
      <c r="B10" s="66" t="s">
        <v>64</v>
      </c>
      <c r="C10" s="70" t="s">
        <v>79</v>
      </c>
      <c r="D10" s="66">
        <v>1</v>
      </c>
      <c r="E10" s="66">
        <v>1</v>
      </c>
      <c r="F10" s="69">
        <v>1</v>
      </c>
      <c r="G10" s="66">
        <v>200</v>
      </c>
      <c r="H10" s="66">
        <v>7202</v>
      </c>
      <c r="I10" s="66">
        <v>0</v>
      </c>
      <c r="J10" s="79">
        <v>63097</v>
      </c>
      <c r="K10" s="80" t="s">
        <v>72</v>
      </c>
      <c r="L10" s="79">
        <v>63097</v>
      </c>
      <c r="M10" s="80" t="s">
        <v>72</v>
      </c>
      <c r="N10" s="75"/>
      <c r="O10" s="69"/>
      <c r="P10" s="76"/>
      <c r="Q10" s="76"/>
      <c r="R10" s="86"/>
      <c r="S10" s="66">
        <v>1</v>
      </c>
      <c r="T10" s="66">
        <v>1</v>
      </c>
      <c r="U10" s="90"/>
      <c r="V10" s="66"/>
      <c r="W10" s="66"/>
      <c r="X10" s="89">
        <v>200</v>
      </c>
      <c r="Y10" s="95">
        <v>50</v>
      </c>
      <c r="Z10" s="95">
        <v>50</v>
      </c>
      <c r="AA10" s="95">
        <v>50</v>
      </c>
      <c r="AB10" s="66"/>
      <c r="AC10" s="66"/>
      <c r="AD10" s="73" t="s">
        <v>80</v>
      </c>
      <c r="AE10" s="72" t="s">
        <v>81</v>
      </c>
      <c r="AF10" s="72" t="s">
        <v>82</v>
      </c>
      <c r="AG10" s="71"/>
      <c r="AH10" s="73" t="s">
        <v>83</v>
      </c>
      <c r="AI10" s="69"/>
      <c r="AJ10" s="69"/>
      <c r="AK10" s="73" t="s">
        <v>84</v>
      </c>
      <c r="AL10" s="73" t="s">
        <v>85</v>
      </c>
      <c r="AM10" s="69"/>
      <c r="AN10" s="69">
        <v>1</v>
      </c>
      <c r="AO10" s="69">
        <v>0</v>
      </c>
      <c r="AP10" s="69">
        <v>1</v>
      </c>
      <c r="AQ10" s="69">
        <v>1</v>
      </c>
      <c r="AR10" s="69">
        <v>0</v>
      </c>
      <c r="AS10" s="69">
        <v>0</v>
      </c>
      <c r="AT10" s="69" t="str">
        <f t="shared" si="0"/>
        <v>{s_taskTalk,{63097,63097}}</v>
      </c>
    </row>
    <row r="11" s="60" customFormat="1" customHeight="1" spans="1:46">
      <c r="A11" s="65">
        <v>7204</v>
      </c>
      <c r="B11" s="66" t="s">
        <v>64</v>
      </c>
      <c r="C11" s="70" t="s">
        <v>86</v>
      </c>
      <c r="D11" s="66">
        <v>1</v>
      </c>
      <c r="E11" s="66">
        <v>1</v>
      </c>
      <c r="F11" s="69">
        <v>1</v>
      </c>
      <c r="G11" s="66">
        <v>200</v>
      </c>
      <c r="H11" s="66">
        <v>7203</v>
      </c>
      <c r="I11" s="66">
        <v>0</v>
      </c>
      <c r="J11" s="79">
        <v>63097</v>
      </c>
      <c r="K11" s="80" t="s">
        <v>72</v>
      </c>
      <c r="L11" s="79">
        <v>63098</v>
      </c>
      <c r="M11" s="80" t="s">
        <v>87</v>
      </c>
      <c r="N11" s="75"/>
      <c r="O11" s="69"/>
      <c r="P11" s="76"/>
      <c r="Q11" s="76"/>
      <c r="R11" s="86"/>
      <c r="S11" s="66">
        <v>1</v>
      </c>
      <c r="T11" s="66">
        <v>1</v>
      </c>
      <c r="U11" s="90"/>
      <c r="V11" s="66"/>
      <c r="W11" s="66"/>
      <c r="X11" s="89">
        <v>200</v>
      </c>
      <c r="Y11" s="95">
        <v>50</v>
      </c>
      <c r="Z11" s="95">
        <v>50</v>
      </c>
      <c r="AA11" s="95">
        <v>50</v>
      </c>
      <c r="AB11" s="76" t="s">
        <v>88</v>
      </c>
      <c r="AC11" s="66"/>
      <c r="AD11" s="73" t="s">
        <v>89</v>
      </c>
      <c r="AE11" s="72" t="s">
        <v>90</v>
      </c>
      <c r="AF11" s="70" t="s">
        <v>91</v>
      </c>
      <c r="AG11" s="71"/>
      <c r="AH11" s="73" t="s">
        <v>83</v>
      </c>
      <c r="AI11" s="69"/>
      <c r="AJ11" s="69"/>
      <c r="AK11" s="73" t="s">
        <v>92</v>
      </c>
      <c r="AL11" s="73" t="s">
        <v>93</v>
      </c>
      <c r="AM11" s="69"/>
      <c r="AN11" s="69">
        <v>1</v>
      </c>
      <c r="AO11" s="69">
        <v>0</v>
      </c>
      <c r="AP11" s="69">
        <v>1</v>
      </c>
      <c r="AQ11" s="69">
        <v>1</v>
      </c>
      <c r="AR11" s="69">
        <v>0</v>
      </c>
      <c r="AS11" s="69">
        <v>0</v>
      </c>
      <c r="AT11" s="69" t="str">
        <f t="shared" si="0"/>
        <v>{s_taskTalk,{63097,63098}}</v>
      </c>
    </row>
    <row r="12" s="60" customFormat="1" customHeight="1" spans="1:46">
      <c r="A12" s="65">
        <v>7205</v>
      </c>
      <c r="B12" s="70" t="s">
        <v>94</v>
      </c>
      <c r="C12" s="70" t="s">
        <v>95</v>
      </c>
      <c r="D12" s="69">
        <v>1</v>
      </c>
      <c r="E12" s="69">
        <v>1</v>
      </c>
      <c r="F12" s="69">
        <v>1</v>
      </c>
      <c r="G12" s="69">
        <v>200</v>
      </c>
      <c r="H12" s="66">
        <v>7204</v>
      </c>
      <c r="I12" s="69">
        <v>0</v>
      </c>
      <c r="J12" s="79">
        <v>63098</v>
      </c>
      <c r="K12" s="80" t="s">
        <v>87</v>
      </c>
      <c r="L12" s="79">
        <v>63098</v>
      </c>
      <c r="M12" s="80" t="s">
        <v>87</v>
      </c>
      <c r="N12" s="69"/>
      <c r="O12" s="69"/>
      <c r="P12" s="69"/>
      <c r="Q12" s="81">
        <v>15625</v>
      </c>
      <c r="R12" s="69"/>
      <c r="S12" s="69">
        <v>3</v>
      </c>
      <c r="T12" s="69">
        <v>0</v>
      </c>
      <c r="U12" s="69"/>
      <c r="V12" s="69"/>
      <c r="W12" s="69"/>
      <c r="X12" s="89">
        <v>500</v>
      </c>
      <c r="Y12" s="95">
        <v>50</v>
      </c>
      <c r="Z12" s="95">
        <v>50</v>
      </c>
      <c r="AA12" s="95">
        <v>50</v>
      </c>
      <c r="AB12" s="76" t="s">
        <v>96</v>
      </c>
      <c r="AC12" s="69"/>
      <c r="AD12" s="73" t="s">
        <v>97</v>
      </c>
      <c r="AE12" s="70" t="s">
        <v>98</v>
      </c>
      <c r="AF12" s="70" t="s">
        <v>99</v>
      </c>
      <c r="AG12" s="70"/>
      <c r="AH12" s="73" t="s">
        <v>100</v>
      </c>
      <c r="AI12" s="69"/>
      <c r="AJ12" s="69"/>
      <c r="AK12" s="73" t="s">
        <v>101</v>
      </c>
      <c r="AL12" s="73" t="s">
        <v>102</v>
      </c>
      <c r="AM12" s="69"/>
      <c r="AN12" s="69">
        <v>1</v>
      </c>
      <c r="AO12" s="69">
        <v>0</v>
      </c>
      <c r="AP12" s="69">
        <v>1</v>
      </c>
      <c r="AQ12" s="69">
        <v>1</v>
      </c>
      <c r="AR12" s="69">
        <v>0</v>
      </c>
      <c r="AS12" s="69">
        <v>0</v>
      </c>
      <c r="AT12" s="73" t="s">
        <v>103</v>
      </c>
    </row>
    <row r="13" s="60" customFormat="1" customHeight="1" spans="1:46">
      <c r="A13" s="65">
        <v>7206</v>
      </c>
      <c r="B13" s="70" t="s">
        <v>94</v>
      </c>
      <c r="C13" s="70" t="s">
        <v>104</v>
      </c>
      <c r="D13" s="69">
        <v>1</v>
      </c>
      <c r="E13" s="69">
        <v>1</v>
      </c>
      <c r="F13" s="69">
        <v>1</v>
      </c>
      <c r="G13" s="69">
        <v>200</v>
      </c>
      <c r="H13" s="66">
        <v>7205</v>
      </c>
      <c r="I13" s="69">
        <v>0</v>
      </c>
      <c r="J13" s="79">
        <v>63098</v>
      </c>
      <c r="K13" s="80" t="s">
        <v>87</v>
      </c>
      <c r="L13" s="79">
        <v>63098</v>
      </c>
      <c r="M13" s="80" t="s">
        <v>87</v>
      </c>
      <c r="N13" s="69"/>
      <c r="O13" s="69"/>
      <c r="P13" s="69"/>
      <c r="Q13" s="69">
        <v>15618</v>
      </c>
      <c r="R13" s="69"/>
      <c r="S13" s="66">
        <v>3</v>
      </c>
      <c r="T13" s="66">
        <v>0</v>
      </c>
      <c r="U13" s="69"/>
      <c r="V13" s="69"/>
      <c r="W13" s="69"/>
      <c r="X13" s="89">
        <v>200</v>
      </c>
      <c r="Y13" s="95">
        <v>50</v>
      </c>
      <c r="Z13" s="95">
        <v>50</v>
      </c>
      <c r="AA13" s="95">
        <v>50</v>
      </c>
      <c r="AB13" s="69"/>
      <c r="AC13" s="66"/>
      <c r="AD13" s="73" t="s">
        <v>105</v>
      </c>
      <c r="AE13" s="70" t="s">
        <v>106</v>
      </c>
      <c r="AF13" s="70" t="s">
        <v>107</v>
      </c>
      <c r="AG13" s="70" t="s">
        <v>108</v>
      </c>
      <c r="AH13" s="73" t="s">
        <v>100</v>
      </c>
      <c r="AI13" s="69"/>
      <c r="AJ13" s="69"/>
      <c r="AK13" s="73" t="s">
        <v>109</v>
      </c>
      <c r="AL13" s="73" t="s">
        <v>110</v>
      </c>
      <c r="AM13" s="69"/>
      <c r="AN13" s="69">
        <v>1</v>
      </c>
      <c r="AO13" s="69">
        <v>0</v>
      </c>
      <c r="AP13" s="69">
        <v>1</v>
      </c>
      <c r="AQ13" s="69">
        <v>1</v>
      </c>
      <c r="AR13" s="69">
        <v>0</v>
      </c>
      <c r="AS13" s="69">
        <v>0</v>
      </c>
      <c r="AT13" s="73" t="s">
        <v>111</v>
      </c>
    </row>
    <row r="14" s="60" customFormat="1" customHeight="1" spans="1:46">
      <c r="A14" s="65">
        <v>7207</v>
      </c>
      <c r="B14" s="70" t="s">
        <v>64</v>
      </c>
      <c r="C14" s="70" t="s">
        <v>112</v>
      </c>
      <c r="D14" s="69">
        <v>1</v>
      </c>
      <c r="E14" s="69">
        <v>1</v>
      </c>
      <c r="F14" s="69">
        <v>1</v>
      </c>
      <c r="G14" s="69">
        <v>200</v>
      </c>
      <c r="H14" s="66">
        <v>7206</v>
      </c>
      <c r="I14" s="69">
        <v>0</v>
      </c>
      <c r="J14" s="79">
        <v>63098</v>
      </c>
      <c r="K14" s="80" t="s">
        <v>87</v>
      </c>
      <c r="L14" s="79">
        <v>63097</v>
      </c>
      <c r="M14" s="80" t="s">
        <v>72</v>
      </c>
      <c r="N14" s="69"/>
      <c r="O14" s="69"/>
      <c r="P14" s="69"/>
      <c r="Q14" s="81"/>
      <c r="R14" s="69"/>
      <c r="S14" s="69">
        <v>1</v>
      </c>
      <c r="T14" s="69">
        <v>1</v>
      </c>
      <c r="U14" s="69"/>
      <c r="V14" s="69"/>
      <c r="W14" s="69"/>
      <c r="X14" s="89">
        <v>500</v>
      </c>
      <c r="Y14" s="95">
        <v>50</v>
      </c>
      <c r="Z14" s="95">
        <v>50</v>
      </c>
      <c r="AA14" s="95">
        <v>50</v>
      </c>
      <c r="AB14" s="76"/>
      <c r="AC14" s="69"/>
      <c r="AD14" s="73" t="s">
        <v>113</v>
      </c>
      <c r="AE14" s="70" t="s">
        <v>114</v>
      </c>
      <c r="AF14" s="70" t="s">
        <v>115</v>
      </c>
      <c r="AG14" s="70" t="s">
        <v>116</v>
      </c>
      <c r="AH14" s="73" t="s">
        <v>117</v>
      </c>
      <c r="AI14" s="66"/>
      <c r="AJ14" s="66">
        <v>0</v>
      </c>
      <c r="AK14" s="73" t="s">
        <v>118</v>
      </c>
      <c r="AL14" s="73" t="s">
        <v>119</v>
      </c>
      <c r="AM14" s="66"/>
      <c r="AN14" s="69">
        <v>1</v>
      </c>
      <c r="AO14" s="69">
        <v>0</v>
      </c>
      <c r="AP14" s="69">
        <v>1</v>
      </c>
      <c r="AQ14" s="69">
        <v>1</v>
      </c>
      <c r="AR14" s="69">
        <v>0</v>
      </c>
      <c r="AS14" s="69">
        <v>0</v>
      </c>
      <c r="AT14" s="73" t="s">
        <v>120</v>
      </c>
    </row>
    <row r="15" s="60" customFormat="1" customHeight="1" spans="1:46">
      <c r="A15" s="65">
        <v>7208</v>
      </c>
      <c r="B15" s="70" t="s">
        <v>64</v>
      </c>
      <c r="C15" s="60" t="s">
        <v>121</v>
      </c>
      <c r="D15" s="69">
        <v>1</v>
      </c>
      <c r="E15" s="69">
        <v>1</v>
      </c>
      <c r="F15" s="69">
        <v>1</v>
      </c>
      <c r="G15" s="69">
        <v>200</v>
      </c>
      <c r="H15" s="66">
        <v>7207</v>
      </c>
      <c r="I15" s="69">
        <v>0</v>
      </c>
      <c r="J15" s="79">
        <v>63097</v>
      </c>
      <c r="K15" s="80" t="s">
        <v>72</v>
      </c>
      <c r="L15" s="79">
        <v>63098</v>
      </c>
      <c r="M15" s="80" t="s">
        <v>87</v>
      </c>
      <c r="N15" s="69"/>
      <c r="O15" s="69"/>
      <c r="P15" s="69"/>
      <c r="Q15" s="81"/>
      <c r="R15" s="69"/>
      <c r="S15" s="69">
        <v>1</v>
      </c>
      <c r="T15" s="69">
        <v>1</v>
      </c>
      <c r="U15" s="69"/>
      <c r="V15" s="69"/>
      <c r="W15" s="69"/>
      <c r="X15" s="89">
        <v>500</v>
      </c>
      <c r="Y15" s="95">
        <v>50</v>
      </c>
      <c r="Z15" s="95">
        <v>50</v>
      </c>
      <c r="AA15" s="95">
        <v>50</v>
      </c>
      <c r="AB15" s="76" t="s">
        <v>122</v>
      </c>
      <c r="AC15" s="69"/>
      <c r="AD15" s="73" t="s">
        <v>123</v>
      </c>
      <c r="AE15" s="72" t="s">
        <v>124</v>
      </c>
      <c r="AF15" s="70" t="s">
        <v>125</v>
      </c>
      <c r="AG15" s="72" t="s">
        <v>126</v>
      </c>
      <c r="AH15" s="66" t="s">
        <v>83</v>
      </c>
      <c r="AI15" s="66"/>
      <c r="AJ15" s="66">
        <v>0</v>
      </c>
      <c r="AK15" s="73" t="s">
        <v>127</v>
      </c>
      <c r="AL15" s="73" t="s">
        <v>128</v>
      </c>
      <c r="AM15" s="66"/>
      <c r="AN15" s="69">
        <v>1</v>
      </c>
      <c r="AO15" s="69">
        <v>0</v>
      </c>
      <c r="AP15" s="69">
        <v>1</v>
      </c>
      <c r="AQ15" s="69">
        <v>1</v>
      </c>
      <c r="AR15" s="69">
        <v>0</v>
      </c>
      <c r="AS15" s="69">
        <v>0</v>
      </c>
      <c r="AT15" s="73" t="s">
        <v>129</v>
      </c>
    </row>
    <row r="16" s="60" customFormat="1" customHeight="1" spans="1:46">
      <c r="A16" s="65">
        <v>7209</v>
      </c>
      <c r="B16" s="70" t="s">
        <v>94</v>
      </c>
      <c r="C16" s="70" t="s">
        <v>130</v>
      </c>
      <c r="D16" s="69">
        <v>1</v>
      </c>
      <c r="E16" s="69">
        <v>1</v>
      </c>
      <c r="F16" s="69">
        <v>1</v>
      </c>
      <c r="G16" s="69">
        <v>200</v>
      </c>
      <c r="H16" s="66">
        <v>7208</v>
      </c>
      <c r="I16" s="69">
        <v>0</v>
      </c>
      <c r="J16" s="79">
        <v>63098</v>
      </c>
      <c r="K16" s="80" t="s">
        <v>87</v>
      </c>
      <c r="L16" s="79">
        <v>63098</v>
      </c>
      <c r="M16" s="80" t="s">
        <v>87</v>
      </c>
      <c r="N16" s="69"/>
      <c r="O16" s="69"/>
      <c r="P16" s="69"/>
      <c r="Q16" s="81">
        <v>15628</v>
      </c>
      <c r="R16" s="69"/>
      <c r="S16" s="69">
        <v>1</v>
      </c>
      <c r="T16" s="69">
        <v>0</v>
      </c>
      <c r="U16" s="69"/>
      <c r="V16" s="69"/>
      <c r="W16" s="69"/>
      <c r="X16" s="89">
        <v>500</v>
      </c>
      <c r="Y16" s="95">
        <v>50</v>
      </c>
      <c r="Z16" s="95">
        <v>50</v>
      </c>
      <c r="AA16" s="95">
        <v>50</v>
      </c>
      <c r="AB16" s="76"/>
      <c r="AC16" s="69"/>
      <c r="AD16" s="73" t="s">
        <v>131</v>
      </c>
      <c r="AE16" s="70" t="s">
        <v>132</v>
      </c>
      <c r="AF16" s="70" t="s">
        <v>133</v>
      </c>
      <c r="AG16" s="70" t="s">
        <v>134</v>
      </c>
      <c r="AH16" s="66" t="s">
        <v>100</v>
      </c>
      <c r="AI16" s="66"/>
      <c r="AJ16" s="66">
        <v>0</v>
      </c>
      <c r="AK16" s="73" t="s">
        <v>135</v>
      </c>
      <c r="AL16" s="73" t="s">
        <v>136</v>
      </c>
      <c r="AM16" s="66"/>
      <c r="AN16" s="69">
        <v>1</v>
      </c>
      <c r="AO16" s="69">
        <v>0</v>
      </c>
      <c r="AP16" s="69">
        <v>1</v>
      </c>
      <c r="AQ16" s="69">
        <v>1</v>
      </c>
      <c r="AR16" s="69">
        <v>0</v>
      </c>
      <c r="AS16" s="69">
        <v>0</v>
      </c>
      <c r="AT16" s="73" t="s">
        <v>137</v>
      </c>
    </row>
    <row r="17" s="61" customFormat="1" customHeight="1" spans="1:46">
      <c r="A17" s="65">
        <v>7210</v>
      </c>
      <c r="B17" s="70" t="s">
        <v>64</v>
      </c>
      <c r="C17" s="70" t="s">
        <v>138</v>
      </c>
      <c r="D17" s="69">
        <v>1</v>
      </c>
      <c r="E17" s="69">
        <v>1</v>
      </c>
      <c r="F17" s="69">
        <v>1</v>
      </c>
      <c r="G17" s="69">
        <v>200</v>
      </c>
      <c r="H17" s="66">
        <v>7209</v>
      </c>
      <c r="I17" s="69">
        <v>0</v>
      </c>
      <c r="J17" s="79">
        <v>63098</v>
      </c>
      <c r="K17" s="80" t="s">
        <v>87</v>
      </c>
      <c r="L17" s="79">
        <v>63096</v>
      </c>
      <c r="M17" s="80" t="s">
        <v>49</v>
      </c>
      <c r="N17" s="69"/>
      <c r="O17" s="69"/>
      <c r="P17" s="69"/>
      <c r="Q17" s="69"/>
      <c r="R17" s="69"/>
      <c r="S17" s="66">
        <v>1</v>
      </c>
      <c r="T17" s="66">
        <v>1</v>
      </c>
      <c r="U17" s="69"/>
      <c r="V17" s="69"/>
      <c r="W17" s="69"/>
      <c r="X17" s="89">
        <v>300</v>
      </c>
      <c r="Y17" s="95">
        <v>50</v>
      </c>
      <c r="Z17" s="95">
        <v>50</v>
      </c>
      <c r="AA17" s="95">
        <v>50</v>
      </c>
      <c r="AB17" s="69"/>
      <c r="AC17" s="69"/>
      <c r="AD17" s="73" t="s">
        <v>139</v>
      </c>
      <c r="AE17" s="70" t="s">
        <v>140</v>
      </c>
      <c r="AF17" s="70" t="s">
        <v>141</v>
      </c>
      <c r="AG17" s="70" t="s">
        <v>142</v>
      </c>
      <c r="AH17" s="73" t="s">
        <v>100</v>
      </c>
      <c r="AI17" s="69"/>
      <c r="AJ17" s="69"/>
      <c r="AK17" s="73" t="s">
        <v>143</v>
      </c>
      <c r="AL17" s="73" t="s">
        <v>144</v>
      </c>
      <c r="AM17" s="69"/>
      <c r="AN17" s="69">
        <v>1</v>
      </c>
      <c r="AO17" s="69">
        <v>0</v>
      </c>
      <c r="AP17" s="69">
        <v>1</v>
      </c>
      <c r="AQ17" s="69">
        <v>1</v>
      </c>
      <c r="AR17" s="69">
        <v>0</v>
      </c>
      <c r="AS17" s="69">
        <v>0</v>
      </c>
      <c r="AT17" s="73" t="str">
        <f>"{s_taskTalk,{"&amp;J17&amp;","&amp;L17&amp;"}}"</f>
        <v>{s_taskTalk,{63098,63096}}</v>
      </c>
    </row>
    <row r="18" s="60" customFormat="1" customHeight="1" spans="1:46">
      <c r="A18" s="65">
        <v>7211</v>
      </c>
      <c r="B18" s="70" t="s">
        <v>64</v>
      </c>
      <c r="C18" s="70" t="s">
        <v>145</v>
      </c>
      <c r="D18" s="69">
        <v>1</v>
      </c>
      <c r="E18" s="69">
        <v>1</v>
      </c>
      <c r="F18" s="69">
        <v>1</v>
      </c>
      <c r="G18" s="69">
        <v>200</v>
      </c>
      <c r="H18" s="66">
        <v>7210</v>
      </c>
      <c r="I18" s="69">
        <v>0</v>
      </c>
      <c r="J18" s="79">
        <v>63096</v>
      </c>
      <c r="K18" s="80" t="s">
        <v>49</v>
      </c>
      <c r="L18" s="79">
        <v>63096</v>
      </c>
      <c r="M18" s="80" t="s">
        <v>49</v>
      </c>
      <c r="N18" s="69"/>
      <c r="O18" s="69"/>
      <c r="P18" s="69"/>
      <c r="Q18" s="81"/>
      <c r="R18" s="69"/>
      <c r="S18" s="69">
        <v>1</v>
      </c>
      <c r="T18" s="69">
        <v>1</v>
      </c>
      <c r="U18" s="69"/>
      <c r="V18" s="69"/>
      <c r="W18" s="69"/>
      <c r="X18" s="89">
        <v>750</v>
      </c>
      <c r="Y18" s="95">
        <v>50</v>
      </c>
      <c r="Z18" s="95">
        <v>50</v>
      </c>
      <c r="AA18" s="95">
        <v>50</v>
      </c>
      <c r="AB18" s="76" t="s">
        <v>146</v>
      </c>
      <c r="AC18" s="69"/>
      <c r="AD18" s="73" t="s">
        <v>147</v>
      </c>
      <c r="AE18" s="70" t="s">
        <v>148</v>
      </c>
      <c r="AF18" s="70" t="s">
        <v>149</v>
      </c>
      <c r="AG18" s="70"/>
      <c r="AH18" s="73" t="s">
        <v>52</v>
      </c>
      <c r="AI18" s="69"/>
      <c r="AJ18" s="69"/>
      <c r="AK18" s="73" t="s">
        <v>150</v>
      </c>
      <c r="AL18" s="73" t="s">
        <v>151</v>
      </c>
      <c r="AM18" s="69"/>
      <c r="AN18" s="69">
        <v>1</v>
      </c>
      <c r="AO18" s="69">
        <v>0</v>
      </c>
      <c r="AP18" s="69">
        <v>1</v>
      </c>
      <c r="AQ18" s="69">
        <v>1</v>
      </c>
      <c r="AR18" s="69">
        <v>0</v>
      </c>
      <c r="AS18" s="69">
        <v>0</v>
      </c>
      <c r="AT18" s="73" t="s">
        <v>152</v>
      </c>
    </row>
    <row r="19" s="60" customFormat="1" customHeight="1" spans="1:46">
      <c r="A19" s="65">
        <v>7212</v>
      </c>
      <c r="B19" s="70" t="s">
        <v>64</v>
      </c>
      <c r="C19" s="70" t="s">
        <v>153</v>
      </c>
      <c r="D19" s="69">
        <v>1</v>
      </c>
      <c r="E19" s="69">
        <v>1</v>
      </c>
      <c r="F19" s="69">
        <v>1</v>
      </c>
      <c r="G19" s="69">
        <v>200</v>
      </c>
      <c r="H19" s="66">
        <v>7211</v>
      </c>
      <c r="I19" s="69">
        <v>0</v>
      </c>
      <c r="J19" s="79">
        <v>63096</v>
      </c>
      <c r="K19" s="80" t="s">
        <v>49</v>
      </c>
      <c r="L19" s="79">
        <v>63100</v>
      </c>
      <c r="M19" s="80" t="s">
        <v>154</v>
      </c>
      <c r="N19" s="69"/>
      <c r="O19" s="69"/>
      <c r="P19" s="69"/>
      <c r="Q19" s="81"/>
      <c r="R19" s="69"/>
      <c r="S19" s="69">
        <v>1</v>
      </c>
      <c r="T19" s="69">
        <v>1</v>
      </c>
      <c r="U19" s="69"/>
      <c r="V19" s="69"/>
      <c r="W19" s="69"/>
      <c r="X19" s="89">
        <v>750</v>
      </c>
      <c r="Y19" s="95">
        <v>50</v>
      </c>
      <c r="Z19" s="95">
        <v>50</v>
      </c>
      <c r="AA19" s="95">
        <v>50</v>
      </c>
      <c r="AB19" s="76"/>
      <c r="AC19" s="69"/>
      <c r="AD19" s="73" t="s">
        <v>155</v>
      </c>
      <c r="AE19" s="72" t="s">
        <v>156</v>
      </c>
      <c r="AF19" s="70" t="s">
        <v>157</v>
      </c>
      <c r="AG19" s="70" t="s">
        <v>158</v>
      </c>
      <c r="AH19" s="73" t="s">
        <v>52</v>
      </c>
      <c r="AI19" s="69"/>
      <c r="AJ19" s="69"/>
      <c r="AK19" s="73" t="s">
        <v>159</v>
      </c>
      <c r="AL19" s="73" t="s">
        <v>160</v>
      </c>
      <c r="AM19" s="69"/>
      <c r="AN19" s="69">
        <v>1</v>
      </c>
      <c r="AO19" s="69">
        <v>0</v>
      </c>
      <c r="AP19" s="69">
        <v>1</v>
      </c>
      <c r="AQ19" s="69">
        <v>1</v>
      </c>
      <c r="AR19" s="69">
        <v>0</v>
      </c>
      <c r="AS19" s="69">
        <v>0</v>
      </c>
      <c r="AT19" s="73" t="s">
        <v>161</v>
      </c>
    </row>
    <row r="20" s="60" customFormat="1" customHeight="1" spans="1:46">
      <c r="A20" s="65">
        <v>7213</v>
      </c>
      <c r="B20" s="70" t="s">
        <v>94</v>
      </c>
      <c r="C20" s="70" t="s">
        <v>162</v>
      </c>
      <c r="D20" s="69">
        <v>1</v>
      </c>
      <c r="E20" s="69">
        <v>1</v>
      </c>
      <c r="F20" s="69">
        <v>1</v>
      </c>
      <c r="G20" s="69">
        <v>200</v>
      </c>
      <c r="H20" s="66">
        <v>7212</v>
      </c>
      <c r="I20" s="69">
        <v>0</v>
      </c>
      <c r="J20" s="79">
        <v>63100</v>
      </c>
      <c r="K20" s="80" t="s">
        <v>154</v>
      </c>
      <c r="L20" s="79">
        <v>63100</v>
      </c>
      <c r="M20" s="80" t="s">
        <v>154</v>
      </c>
      <c r="N20" s="69"/>
      <c r="O20" s="69"/>
      <c r="P20" s="69"/>
      <c r="Q20" s="81">
        <v>15632</v>
      </c>
      <c r="R20" s="69"/>
      <c r="S20" s="69">
        <v>3</v>
      </c>
      <c r="T20" s="69">
        <v>0</v>
      </c>
      <c r="U20" s="69"/>
      <c r="V20" s="69"/>
      <c r="W20" s="69"/>
      <c r="X20" s="89">
        <v>750</v>
      </c>
      <c r="Y20" s="95">
        <v>50</v>
      </c>
      <c r="Z20" s="95">
        <v>50</v>
      </c>
      <c r="AA20" s="95">
        <v>50</v>
      </c>
      <c r="AB20" s="76" t="s">
        <v>163</v>
      </c>
      <c r="AC20" s="69"/>
      <c r="AD20" s="73" t="s">
        <v>164</v>
      </c>
      <c r="AE20" s="70" t="s">
        <v>165</v>
      </c>
      <c r="AF20" s="70" t="s">
        <v>166</v>
      </c>
      <c r="AG20" s="70" t="s">
        <v>167</v>
      </c>
      <c r="AH20" s="73" t="s">
        <v>168</v>
      </c>
      <c r="AI20" s="69"/>
      <c r="AJ20" s="69"/>
      <c r="AK20" s="73" t="s">
        <v>169</v>
      </c>
      <c r="AL20" s="73" t="s">
        <v>170</v>
      </c>
      <c r="AM20" s="69"/>
      <c r="AN20" s="69">
        <v>1</v>
      </c>
      <c r="AO20" s="69">
        <v>0</v>
      </c>
      <c r="AP20" s="69">
        <v>1</v>
      </c>
      <c r="AQ20" s="69">
        <v>1</v>
      </c>
      <c r="AR20" s="69">
        <v>0</v>
      </c>
      <c r="AS20" s="69">
        <v>0</v>
      </c>
      <c r="AT20" s="73" t="s">
        <v>171</v>
      </c>
    </row>
    <row r="21" s="60" customFormat="1" customHeight="1" spans="1:46">
      <c r="A21" s="65">
        <v>7214</v>
      </c>
      <c r="B21" s="70" t="s">
        <v>64</v>
      </c>
      <c r="C21" s="70" t="s">
        <v>172</v>
      </c>
      <c r="D21" s="69">
        <v>1</v>
      </c>
      <c r="E21" s="69">
        <v>1</v>
      </c>
      <c r="F21" s="69">
        <v>1</v>
      </c>
      <c r="G21" s="69">
        <v>200</v>
      </c>
      <c r="H21" s="66">
        <v>7213</v>
      </c>
      <c r="I21" s="69">
        <v>0</v>
      </c>
      <c r="J21" s="79">
        <v>63100</v>
      </c>
      <c r="K21" s="80" t="s">
        <v>154</v>
      </c>
      <c r="L21" s="79">
        <v>63099</v>
      </c>
      <c r="M21" s="80" t="s">
        <v>173</v>
      </c>
      <c r="N21" s="69"/>
      <c r="O21" s="69"/>
      <c r="P21" s="69"/>
      <c r="Q21" s="81"/>
      <c r="R21" s="69"/>
      <c r="S21" s="69">
        <v>1</v>
      </c>
      <c r="T21" s="69">
        <v>1</v>
      </c>
      <c r="U21" s="69"/>
      <c r="V21" s="69"/>
      <c r="W21" s="69"/>
      <c r="X21" s="89">
        <v>400</v>
      </c>
      <c r="Y21" s="95">
        <v>50</v>
      </c>
      <c r="Z21" s="95">
        <v>50</v>
      </c>
      <c r="AA21" s="95">
        <v>50</v>
      </c>
      <c r="AB21" s="69"/>
      <c r="AC21" s="66"/>
      <c r="AD21" s="73" t="s">
        <v>174</v>
      </c>
      <c r="AE21" s="70" t="s">
        <v>175</v>
      </c>
      <c r="AF21" s="70" t="s">
        <v>176</v>
      </c>
      <c r="AG21" s="71"/>
      <c r="AH21" s="73" t="s">
        <v>168</v>
      </c>
      <c r="AI21" s="69"/>
      <c r="AJ21" s="69"/>
      <c r="AK21" s="73" t="s">
        <v>177</v>
      </c>
      <c r="AL21" s="73" t="s">
        <v>178</v>
      </c>
      <c r="AM21" s="69"/>
      <c r="AN21" s="69">
        <v>1</v>
      </c>
      <c r="AO21" s="69">
        <v>0</v>
      </c>
      <c r="AP21" s="69">
        <v>1</v>
      </c>
      <c r="AQ21" s="69">
        <v>1</v>
      </c>
      <c r="AR21" s="69">
        <v>0</v>
      </c>
      <c r="AS21" s="69">
        <v>0</v>
      </c>
      <c r="AT21" s="69" t="str">
        <f t="shared" ref="AT21:AT22" si="1">"{s_taskTalk,{"&amp;J21&amp;","&amp;L21&amp;"}}"</f>
        <v>{s_taskTalk,{63100,63099}}</v>
      </c>
    </row>
    <row r="22" s="60" customFormat="1" customHeight="1" spans="1:46">
      <c r="A22" s="65">
        <v>7215</v>
      </c>
      <c r="B22" s="70" t="s">
        <v>64</v>
      </c>
      <c r="C22" s="70" t="s">
        <v>179</v>
      </c>
      <c r="D22" s="69">
        <v>1</v>
      </c>
      <c r="E22" s="69">
        <v>1</v>
      </c>
      <c r="F22" s="69">
        <v>1</v>
      </c>
      <c r="G22" s="69">
        <v>200</v>
      </c>
      <c r="H22" s="66">
        <v>7214</v>
      </c>
      <c r="I22" s="69">
        <v>0</v>
      </c>
      <c r="J22" s="79">
        <v>63099</v>
      </c>
      <c r="K22" s="80" t="s">
        <v>173</v>
      </c>
      <c r="L22" s="79">
        <v>63099</v>
      </c>
      <c r="M22" s="80" t="s">
        <v>173</v>
      </c>
      <c r="N22" s="69"/>
      <c r="O22" s="69"/>
      <c r="P22" s="69"/>
      <c r="Q22" s="81"/>
      <c r="R22" s="69"/>
      <c r="S22" s="69">
        <v>1</v>
      </c>
      <c r="T22" s="69">
        <v>1</v>
      </c>
      <c r="U22" s="69"/>
      <c r="V22" s="69"/>
      <c r="W22" s="69"/>
      <c r="X22" s="89">
        <v>400</v>
      </c>
      <c r="Y22" s="95">
        <v>50</v>
      </c>
      <c r="Z22" s="95">
        <v>50</v>
      </c>
      <c r="AA22" s="95">
        <v>50</v>
      </c>
      <c r="AB22" s="76" t="s">
        <v>180</v>
      </c>
      <c r="AC22" s="66"/>
      <c r="AD22" s="73" t="s">
        <v>181</v>
      </c>
      <c r="AE22" s="70" t="s">
        <v>182</v>
      </c>
      <c r="AF22" s="70" t="s">
        <v>183</v>
      </c>
      <c r="AG22" s="71"/>
      <c r="AH22" s="73" t="s">
        <v>184</v>
      </c>
      <c r="AI22" s="69"/>
      <c r="AJ22" s="69"/>
      <c r="AK22" s="73" t="s">
        <v>185</v>
      </c>
      <c r="AL22" s="73" t="s">
        <v>186</v>
      </c>
      <c r="AM22" s="69"/>
      <c r="AN22" s="69">
        <v>1</v>
      </c>
      <c r="AO22" s="69">
        <v>0</v>
      </c>
      <c r="AP22" s="69">
        <v>1</v>
      </c>
      <c r="AQ22" s="69">
        <v>1</v>
      </c>
      <c r="AR22" s="69">
        <v>0</v>
      </c>
      <c r="AS22" s="69">
        <v>0</v>
      </c>
      <c r="AT22" s="69" t="str">
        <f t="shared" si="1"/>
        <v>{s_taskTalk,{63099,63099}}</v>
      </c>
    </row>
    <row r="23" s="60" customFormat="1" customHeight="1" spans="1:46">
      <c r="A23" s="65">
        <v>7216</v>
      </c>
      <c r="B23" s="70" t="s">
        <v>94</v>
      </c>
      <c r="C23" s="70" t="s">
        <v>187</v>
      </c>
      <c r="D23" s="69">
        <v>1</v>
      </c>
      <c r="E23" s="69">
        <v>1</v>
      </c>
      <c r="F23" s="69">
        <v>1</v>
      </c>
      <c r="G23" s="69">
        <v>200</v>
      </c>
      <c r="H23" s="66">
        <v>7215</v>
      </c>
      <c r="I23" s="69">
        <v>0</v>
      </c>
      <c r="J23" s="79">
        <v>63099</v>
      </c>
      <c r="K23" s="80" t="s">
        <v>173</v>
      </c>
      <c r="L23" s="79">
        <v>63099</v>
      </c>
      <c r="M23" s="80" t="s">
        <v>173</v>
      </c>
      <c r="N23" s="69"/>
      <c r="O23" s="69"/>
      <c r="P23" s="69"/>
      <c r="Q23" s="81">
        <v>15638</v>
      </c>
      <c r="R23" s="69"/>
      <c r="S23" s="69">
        <v>3</v>
      </c>
      <c r="T23" s="69">
        <v>0</v>
      </c>
      <c r="U23" s="69"/>
      <c r="V23" s="69"/>
      <c r="W23" s="69"/>
      <c r="X23" s="89">
        <v>1000</v>
      </c>
      <c r="Y23" s="95">
        <v>50</v>
      </c>
      <c r="Z23" s="95">
        <v>50</v>
      </c>
      <c r="AA23" s="95">
        <v>50</v>
      </c>
      <c r="AB23" s="76"/>
      <c r="AC23" s="69"/>
      <c r="AD23" s="73" t="s">
        <v>188</v>
      </c>
      <c r="AE23" s="70" t="s">
        <v>189</v>
      </c>
      <c r="AF23" s="70" t="s">
        <v>190</v>
      </c>
      <c r="AG23" s="70" t="s">
        <v>191</v>
      </c>
      <c r="AH23" s="73" t="s">
        <v>184</v>
      </c>
      <c r="AI23" s="69"/>
      <c r="AJ23" s="69"/>
      <c r="AK23" s="73" t="s">
        <v>192</v>
      </c>
      <c r="AL23" s="73" t="s">
        <v>193</v>
      </c>
      <c r="AM23" s="69"/>
      <c r="AN23" s="66">
        <v>1</v>
      </c>
      <c r="AO23" s="66">
        <v>0</v>
      </c>
      <c r="AP23" s="66">
        <v>1</v>
      </c>
      <c r="AQ23" s="66">
        <v>1</v>
      </c>
      <c r="AR23" s="69">
        <v>0</v>
      </c>
      <c r="AS23" s="66">
        <v>0</v>
      </c>
      <c r="AT23" s="73" t="s">
        <v>194</v>
      </c>
    </row>
    <row r="24" s="60" customFormat="1" customHeight="1" spans="1:46">
      <c r="A24" s="65">
        <v>7217</v>
      </c>
      <c r="B24" s="70" t="s">
        <v>64</v>
      </c>
      <c r="C24" s="70" t="s">
        <v>195</v>
      </c>
      <c r="D24" s="69">
        <v>1</v>
      </c>
      <c r="E24" s="69">
        <v>1</v>
      </c>
      <c r="F24" s="69">
        <v>1</v>
      </c>
      <c r="G24" s="69">
        <v>200</v>
      </c>
      <c r="H24" s="66">
        <v>7216</v>
      </c>
      <c r="I24" s="69">
        <v>0</v>
      </c>
      <c r="J24" s="79">
        <v>63099</v>
      </c>
      <c r="K24" s="80" t="s">
        <v>173</v>
      </c>
      <c r="L24" s="79">
        <v>63100</v>
      </c>
      <c r="M24" s="80" t="s">
        <v>154</v>
      </c>
      <c r="N24" s="69"/>
      <c r="O24" s="69"/>
      <c r="P24" s="69"/>
      <c r="Q24" s="81"/>
      <c r="R24" s="69"/>
      <c r="S24" s="69">
        <v>1</v>
      </c>
      <c r="T24" s="69">
        <v>1</v>
      </c>
      <c r="U24" s="69"/>
      <c r="V24" s="69"/>
      <c r="W24" s="69"/>
      <c r="X24" s="89">
        <v>1000</v>
      </c>
      <c r="Y24" s="95">
        <v>50</v>
      </c>
      <c r="Z24" s="95">
        <v>50</v>
      </c>
      <c r="AA24" s="95">
        <v>50</v>
      </c>
      <c r="AB24" s="76"/>
      <c r="AC24" s="69"/>
      <c r="AD24" s="73" t="s">
        <v>196</v>
      </c>
      <c r="AE24" s="70" t="s">
        <v>197</v>
      </c>
      <c r="AF24" s="70" t="s">
        <v>198</v>
      </c>
      <c r="AG24" s="70" t="s">
        <v>199</v>
      </c>
      <c r="AH24" s="73" t="s">
        <v>184</v>
      </c>
      <c r="AI24" s="69"/>
      <c r="AJ24" s="69"/>
      <c r="AK24" s="73" t="s">
        <v>200</v>
      </c>
      <c r="AL24" s="73" t="s">
        <v>201</v>
      </c>
      <c r="AM24" s="69"/>
      <c r="AN24" s="66">
        <v>1</v>
      </c>
      <c r="AO24" s="66">
        <v>0</v>
      </c>
      <c r="AP24" s="66">
        <v>1</v>
      </c>
      <c r="AQ24" s="66">
        <v>1</v>
      </c>
      <c r="AR24" s="69">
        <v>0</v>
      </c>
      <c r="AS24" s="66">
        <v>0</v>
      </c>
      <c r="AT24" s="73" t="s">
        <v>202</v>
      </c>
    </row>
    <row r="25" s="60" customFormat="1" customHeight="1" spans="1:46">
      <c r="A25" s="65">
        <v>7218</v>
      </c>
      <c r="B25" s="70" t="s">
        <v>64</v>
      </c>
      <c r="C25" s="70" t="s">
        <v>203</v>
      </c>
      <c r="D25" s="69">
        <v>1</v>
      </c>
      <c r="E25" s="69">
        <v>1</v>
      </c>
      <c r="F25" s="69">
        <v>1</v>
      </c>
      <c r="G25" s="69">
        <v>200</v>
      </c>
      <c r="H25" s="66">
        <v>7217</v>
      </c>
      <c r="I25" s="69">
        <v>0</v>
      </c>
      <c r="J25" s="79">
        <v>63100</v>
      </c>
      <c r="K25" s="80" t="s">
        <v>154</v>
      </c>
      <c r="L25" s="79">
        <v>63100</v>
      </c>
      <c r="M25" s="80" t="s">
        <v>154</v>
      </c>
      <c r="N25" s="69"/>
      <c r="O25" s="69"/>
      <c r="P25" s="69"/>
      <c r="Q25" s="81"/>
      <c r="R25" s="69"/>
      <c r="S25" s="69">
        <v>1</v>
      </c>
      <c r="T25" s="69">
        <v>1</v>
      </c>
      <c r="U25" s="69"/>
      <c r="V25" s="69"/>
      <c r="W25" s="69"/>
      <c r="X25" s="89">
        <v>1000</v>
      </c>
      <c r="Y25" s="95">
        <v>50</v>
      </c>
      <c r="Z25" s="95">
        <v>50</v>
      </c>
      <c r="AA25" s="95">
        <v>50</v>
      </c>
      <c r="AB25" s="76"/>
      <c r="AC25" s="69"/>
      <c r="AD25" s="73" t="s">
        <v>204</v>
      </c>
      <c r="AE25" s="70" t="s">
        <v>205</v>
      </c>
      <c r="AF25" s="70" t="s">
        <v>206</v>
      </c>
      <c r="AG25" s="71"/>
      <c r="AH25" s="73" t="s">
        <v>168</v>
      </c>
      <c r="AI25" s="69"/>
      <c r="AJ25" s="69"/>
      <c r="AK25" s="73" t="s">
        <v>207</v>
      </c>
      <c r="AL25" s="73" t="s">
        <v>208</v>
      </c>
      <c r="AM25" s="69"/>
      <c r="AN25" s="66">
        <v>1</v>
      </c>
      <c r="AO25" s="66">
        <v>0</v>
      </c>
      <c r="AP25" s="66">
        <v>1</v>
      </c>
      <c r="AQ25" s="66">
        <v>1</v>
      </c>
      <c r="AR25" s="69">
        <v>0</v>
      </c>
      <c r="AS25" s="66">
        <v>0</v>
      </c>
      <c r="AT25" s="73" t="s">
        <v>209</v>
      </c>
    </row>
    <row r="26" s="60" customFormat="1" customHeight="1" spans="1:46">
      <c r="A26" s="65">
        <v>7219</v>
      </c>
      <c r="B26" s="71" t="s">
        <v>64</v>
      </c>
      <c r="C26" s="70" t="s">
        <v>210</v>
      </c>
      <c r="D26" s="69">
        <v>1</v>
      </c>
      <c r="E26" s="69">
        <v>1</v>
      </c>
      <c r="F26" s="69">
        <v>1</v>
      </c>
      <c r="G26" s="69">
        <v>200</v>
      </c>
      <c r="H26" s="66">
        <v>7218</v>
      </c>
      <c r="I26" s="69">
        <v>0</v>
      </c>
      <c r="J26" s="79">
        <v>63100</v>
      </c>
      <c r="K26" s="80" t="s">
        <v>154</v>
      </c>
      <c r="L26" s="79">
        <v>63102</v>
      </c>
      <c r="M26" s="80" t="s">
        <v>211</v>
      </c>
      <c r="N26" s="69"/>
      <c r="O26" s="69"/>
      <c r="P26" s="69"/>
      <c r="Q26" s="81"/>
      <c r="R26" s="69"/>
      <c r="S26" s="69">
        <v>1</v>
      </c>
      <c r="T26" s="69">
        <v>1</v>
      </c>
      <c r="U26" s="69"/>
      <c r="V26" s="69"/>
      <c r="W26" s="69"/>
      <c r="X26" s="89">
        <v>400</v>
      </c>
      <c r="Y26" s="95">
        <v>50</v>
      </c>
      <c r="Z26" s="95">
        <v>50</v>
      </c>
      <c r="AA26" s="95">
        <v>50</v>
      </c>
      <c r="AB26" s="76"/>
      <c r="AC26" s="69"/>
      <c r="AD26" s="73" t="s">
        <v>212</v>
      </c>
      <c r="AE26" s="70" t="s">
        <v>213</v>
      </c>
      <c r="AF26" s="70" t="s">
        <v>214</v>
      </c>
      <c r="AG26" s="70" t="s">
        <v>215</v>
      </c>
      <c r="AH26" s="66" t="s">
        <v>168</v>
      </c>
      <c r="AI26" s="69"/>
      <c r="AJ26" s="69"/>
      <c r="AK26" s="73" t="s">
        <v>216</v>
      </c>
      <c r="AL26" s="73" t="s">
        <v>217</v>
      </c>
      <c r="AM26" s="69"/>
      <c r="AN26" s="66">
        <v>1</v>
      </c>
      <c r="AO26" s="66">
        <v>0</v>
      </c>
      <c r="AP26" s="66">
        <v>1</v>
      </c>
      <c r="AQ26" s="66">
        <v>1</v>
      </c>
      <c r="AR26" s="69">
        <v>0</v>
      </c>
      <c r="AS26" s="66">
        <v>0</v>
      </c>
      <c r="AT26" s="97" t="str">
        <f t="shared" ref="AT26" si="2">"{s_taskTalk,{"&amp;J26&amp;","&amp;L26&amp;"}}"</f>
        <v>{s_taskTalk,{63100,63102}}</v>
      </c>
    </row>
    <row r="27" s="60" customFormat="1" customHeight="1" spans="1:46">
      <c r="A27" s="65">
        <v>7220</v>
      </c>
      <c r="B27" s="70" t="s">
        <v>94</v>
      </c>
      <c r="C27" s="70" t="s">
        <v>218</v>
      </c>
      <c r="D27" s="69">
        <v>1</v>
      </c>
      <c r="E27" s="69">
        <v>1</v>
      </c>
      <c r="F27" s="69">
        <v>1</v>
      </c>
      <c r="G27" s="69">
        <v>200</v>
      </c>
      <c r="H27" s="66">
        <v>7219</v>
      </c>
      <c r="I27" s="69">
        <v>0</v>
      </c>
      <c r="J27" s="79">
        <v>63102</v>
      </c>
      <c r="K27" s="80" t="s">
        <v>211</v>
      </c>
      <c r="L27" s="79">
        <v>63102</v>
      </c>
      <c r="M27" s="80" t="s">
        <v>211</v>
      </c>
      <c r="N27" s="69"/>
      <c r="O27" s="69"/>
      <c r="P27" s="69"/>
      <c r="Q27" s="81">
        <v>15627</v>
      </c>
      <c r="R27" s="69"/>
      <c r="S27" s="69">
        <v>1</v>
      </c>
      <c r="T27" s="69">
        <v>0</v>
      </c>
      <c r="U27" s="69"/>
      <c r="V27" s="69"/>
      <c r="W27" s="69"/>
      <c r="X27" s="89">
        <v>1000</v>
      </c>
      <c r="Y27" s="95">
        <v>50</v>
      </c>
      <c r="Z27" s="95">
        <v>50</v>
      </c>
      <c r="AA27" s="95">
        <v>50</v>
      </c>
      <c r="AB27" s="69"/>
      <c r="AC27" s="69"/>
      <c r="AD27" s="73" t="s">
        <v>219</v>
      </c>
      <c r="AE27" s="70" t="s">
        <v>220</v>
      </c>
      <c r="AF27" s="70" t="s">
        <v>221</v>
      </c>
      <c r="AG27" s="70" t="s">
        <v>222</v>
      </c>
      <c r="AH27" s="66" t="s">
        <v>223</v>
      </c>
      <c r="AI27" s="69"/>
      <c r="AJ27" s="69"/>
      <c r="AK27" s="73" t="s">
        <v>224</v>
      </c>
      <c r="AL27" s="73" t="s">
        <v>225</v>
      </c>
      <c r="AM27" s="69"/>
      <c r="AN27" s="66">
        <v>1</v>
      </c>
      <c r="AO27" s="66">
        <v>0</v>
      </c>
      <c r="AP27" s="66">
        <v>1</v>
      </c>
      <c r="AQ27" s="66">
        <v>1</v>
      </c>
      <c r="AR27" s="69">
        <v>0</v>
      </c>
      <c r="AS27" s="66">
        <v>0</v>
      </c>
      <c r="AT27" s="73" t="s">
        <v>226</v>
      </c>
    </row>
    <row r="28" s="60" customFormat="1" customHeight="1" spans="1:46">
      <c r="A28" s="65">
        <v>7221</v>
      </c>
      <c r="B28" s="71" t="s">
        <v>64</v>
      </c>
      <c r="C28" s="70" t="s">
        <v>227</v>
      </c>
      <c r="D28" s="69">
        <v>1</v>
      </c>
      <c r="E28" s="69">
        <v>1</v>
      </c>
      <c r="F28" s="69">
        <v>1</v>
      </c>
      <c r="G28" s="69">
        <v>200</v>
      </c>
      <c r="H28" s="66">
        <v>7220</v>
      </c>
      <c r="I28" s="69">
        <v>0</v>
      </c>
      <c r="J28" s="79">
        <v>63102</v>
      </c>
      <c r="K28" s="80" t="s">
        <v>211</v>
      </c>
      <c r="L28" s="79">
        <v>63103</v>
      </c>
      <c r="M28" s="80" t="s">
        <v>228</v>
      </c>
      <c r="N28" s="69"/>
      <c r="O28" s="69"/>
      <c r="P28" s="69"/>
      <c r="Q28" s="81"/>
      <c r="R28" s="69"/>
      <c r="S28" s="69">
        <v>1</v>
      </c>
      <c r="T28" s="69">
        <v>1</v>
      </c>
      <c r="U28" s="69"/>
      <c r="V28" s="69"/>
      <c r="W28" s="69"/>
      <c r="X28" s="89">
        <v>500</v>
      </c>
      <c r="Y28" s="95">
        <v>50</v>
      </c>
      <c r="Z28" s="95">
        <v>50</v>
      </c>
      <c r="AA28" s="95">
        <v>50</v>
      </c>
      <c r="AB28" s="76"/>
      <c r="AC28" s="69"/>
      <c r="AD28" s="73" t="s">
        <v>229</v>
      </c>
      <c r="AE28" s="70" t="s">
        <v>230</v>
      </c>
      <c r="AF28" s="70" t="s">
        <v>231</v>
      </c>
      <c r="AG28" s="71"/>
      <c r="AH28" s="66" t="s">
        <v>223</v>
      </c>
      <c r="AI28" s="69"/>
      <c r="AJ28" s="69"/>
      <c r="AK28" s="73" t="s">
        <v>232</v>
      </c>
      <c r="AL28" s="73" t="s">
        <v>233</v>
      </c>
      <c r="AM28" s="69"/>
      <c r="AN28" s="66">
        <v>1</v>
      </c>
      <c r="AO28" s="66">
        <v>0</v>
      </c>
      <c r="AP28" s="66">
        <v>1</v>
      </c>
      <c r="AQ28" s="66">
        <v>1</v>
      </c>
      <c r="AR28" s="69">
        <v>0</v>
      </c>
      <c r="AS28" s="66">
        <v>0</v>
      </c>
      <c r="AT28" s="97" t="str">
        <f t="shared" ref="AT28:AT33" si="3">"{s_taskTalk,{"&amp;J28&amp;","&amp;L28&amp;"}}"</f>
        <v>{s_taskTalk,{63102,63103}}</v>
      </c>
    </row>
    <row r="29" s="60" customFormat="1" customHeight="1" spans="1:46">
      <c r="A29" s="65">
        <v>7222</v>
      </c>
      <c r="B29" s="70" t="s">
        <v>64</v>
      </c>
      <c r="C29" s="70" t="s">
        <v>234</v>
      </c>
      <c r="D29" s="69">
        <v>1</v>
      </c>
      <c r="E29" s="69">
        <v>1</v>
      </c>
      <c r="F29" s="69">
        <v>1</v>
      </c>
      <c r="G29" s="69">
        <v>200</v>
      </c>
      <c r="H29" s="66">
        <v>7221</v>
      </c>
      <c r="I29" s="69">
        <v>0</v>
      </c>
      <c r="J29" s="79">
        <v>63103</v>
      </c>
      <c r="K29" s="80" t="s">
        <v>228</v>
      </c>
      <c r="L29" s="79">
        <v>63096</v>
      </c>
      <c r="M29" s="80" t="s">
        <v>49</v>
      </c>
      <c r="N29" s="69"/>
      <c r="O29" s="69"/>
      <c r="P29" s="69"/>
      <c r="Q29" s="81"/>
      <c r="R29" s="69"/>
      <c r="S29" s="69">
        <v>1</v>
      </c>
      <c r="T29" s="69">
        <v>1</v>
      </c>
      <c r="U29" s="69"/>
      <c r="V29" s="69"/>
      <c r="W29" s="69"/>
      <c r="X29" s="89">
        <v>500</v>
      </c>
      <c r="Y29" s="95">
        <v>50</v>
      </c>
      <c r="Z29" s="95">
        <v>50</v>
      </c>
      <c r="AA29" s="95">
        <v>50</v>
      </c>
      <c r="AB29" s="90"/>
      <c r="AC29" s="69"/>
      <c r="AD29" s="73" t="s">
        <v>235</v>
      </c>
      <c r="AE29" s="70" t="s">
        <v>236</v>
      </c>
      <c r="AF29" s="70" t="s">
        <v>237</v>
      </c>
      <c r="AG29" s="71"/>
      <c r="AH29" s="66" t="s">
        <v>238</v>
      </c>
      <c r="AI29" s="69"/>
      <c r="AJ29" s="69"/>
      <c r="AK29" s="73" t="s">
        <v>239</v>
      </c>
      <c r="AL29" s="73" t="s">
        <v>240</v>
      </c>
      <c r="AM29" s="69"/>
      <c r="AN29" s="66">
        <v>1</v>
      </c>
      <c r="AO29" s="66">
        <v>0</v>
      </c>
      <c r="AP29" s="66">
        <v>1</v>
      </c>
      <c r="AQ29" s="66">
        <v>1</v>
      </c>
      <c r="AR29" s="69">
        <v>0</v>
      </c>
      <c r="AS29" s="66"/>
      <c r="AT29" s="97" t="s">
        <v>241</v>
      </c>
    </row>
    <row r="30" s="60" customFormat="1" customHeight="1" spans="1:46">
      <c r="A30" s="65">
        <v>7223</v>
      </c>
      <c r="B30" s="70" t="s">
        <v>64</v>
      </c>
      <c r="C30" s="70" t="s">
        <v>242</v>
      </c>
      <c r="D30" s="69">
        <v>1</v>
      </c>
      <c r="E30" s="69">
        <v>1</v>
      </c>
      <c r="F30" s="69">
        <v>1</v>
      </c>
      <c r="G30" s="69">
        <v>200</v>
      </c>
      <c r="H30" s="66">
        <v>7222</v>
      </c>
      <c r="I30" s="69">
        <v>0</v>
      </c>
      <c r="J30" s="79">
        <v>63096</v>
      </c>
      <c r="K30" s="80" t="s">
        <v>49</v>
      </c>
      <c r="L30" s="79">
        <v>63096</v>
      </c>
      <c r="M30" s="80" t="s">
        <v>49</v>
      </c>
      <c r="N30" s="69"/>
      <c r="O30" s="69"/>
      <c r="P30" s="69"/>
      <c r="Q30" s="81"/>
      <c r="R30" s="69"/>
      <c r="S30" s="69">
        <v>1</v>
      </c>
      <c r="T30" s="69">
        <v>1</v>
      </c>
      <c r="U30" s="69"/>
      <c r="V30" s="69"/>
      <c r="W30" s="69"/>
      <c r="X30" s="89">
        <v>500</v>
      </c>
      <c r="Y30" s="95">
        <v>50</v>
      </c>
      <c r="Z30" s="95">
        <v>50</v>
      </c>
      <c r="AA30" s="95">
        <v>50</v>
      </c>
      <c r="AB30" s="90"/>
      <c r="AC30" s="69"/>
      <c r="AD30" s="73" t="s">
        <v>243</v>
      </c>
      <c r="AE30" s="70" t="s">
        <v>244</v>
      </c>
      <c r="AF30" s="70" t="s">
        <v>245</v>
      </c>
      <c r="AG30" s="71"/>
      <c r="AH30" s="66" t="s">
        <v>223</v>
      </c>
      <c r="AI30" s="69"/>
      <c r="AJ30" s="69"/>
      <c r="AK30" s="73" t="s">
        <v>246</v>
      </c>
      <c r="AL30" s="73" t="s">
        <v>247</v>
      </c>
      <c r="AM30" s="69"/>
      <c r="AN30" s="66">
        <v>1</v>
      </c>
      <c r="AO30" s="66">
        <v>0</v>
      </c>
      <c r="AP30" s="66">
        <v>1</v>
      </c>
      <c r="AQ30" s="66">
        <v>1</v>
      </c>
      <c r="AR30" s="69">
        <v>0</v>
      </c>
      <c r="AS30" s="66"/>
      <c r="AT30" s="97" t="s">
        <v>152</v>
      </c>
    </row>
    <row r="31" s="60" customFormat="1" customHeight="1" spans="1:46">
      <c r="A31" s="65">
        <v>7224</v>
      </c>
      <c r="B31" s="70" t="s">
        <v>64</v>
      </c>
      <c r="C31" s="70" t="s">
        <v>248</v>
      </c>
      <c r="D31" s="69">
        <v>1</v>
      </c>
      <c r="E31" s="69">
        <v>1</v>
      </c>
      <c r="F31" s="69">
        <v>1</v>
      </c>
      <c r="G31" s="69">
        <v>200</v>
      </c>
      <c r="H31" s="66">
        <v>7223</v>
      </c>
      <c r="I31" s="69">
        <v>0</v>
      </c>
      <c r="J31" s="79">
        <v>63096</v>
      </c>
      <c r="K31" s="80" t="s">
        <v>49</v>
      </c>
      <c r="L31" s="79">
        <v>63097</v>
      </c>
      <c r="M31" s="80" t="s">
        <v>72</v>
      </c>
      <c r="N31" s="69"/>
      <c r="O31" s="81"/>
      <c r="P31" s="69"/>
      <c r="Q31" s="81"/>
      <c r="R31" s="69"/>
      <c r="S31" s="69">
        <v>1</v>
      </c>
      <c r="T31" s="69">
        <v>1</v>
      </c>
      <c r="U31" s="69"/>
      <c r="V31" s="69"/>
      <c r="W31" s="69"/>
      <c r="X31" s="89">
        <v>1250</v>
      </c>
      <c r="Y31" s="95">
        <v>50</v>
      </c>
      <c r="Z31" s="95">
        <v>50</v>
      </c>
      <c r="AA31" s="95">
        <v>50</v>
      </c>
      <c r="AB31" s="69"/>
      <c r="AC31" s="69"/>
      <c r="AD31" s="73" t="s">
        <v>249</v>
      </c>
      <c r="AE31" s="70" t="s">
        <v>250</v>
      </c>
      <c r="AF31" s="70" t="s">
        <v>251</v>
      </c>
      <c r="AG31" s="71"/>
      <c r="AH31" s="66" t="s">
        <v>83</v>
      </c>
      <c r="AI31" s="69"/>
      <c r="AJ31" s="69"/>
      <c r="AK31" s="73" t="s">
        <v>252</v>
      </c>
      <c r="AL31" s="73" t="s">
        <v>253</v>
      </c>
      <c r="AM31" s="66"/>
      <c r="AN31" s="66">
        <v>1</v>
      </c>
      <c r="AO31" s="66">
        <v>0</v>
      </c>
      <c r="AP31" s="66">
        <v>1</v>
      </c>
      <c r="AQ31" s="66">
        <v>1</v>
      </c>
      <c r="AR31" s="69">
        <v>0</v>
      </c>
      <c r="AS31" s="66">
        <v>0</v>
      </c>
      <c r="AT31" s="73" t="s">
        <v>254</v>
      </c>
    </row>
    <row r="32" s="60" customFormat="1" customHeight="1" spans="1:46">
      <c r="A32" s="65">
        <v>7225</v>
      </c>
      <c r="B32" s="71" t="s">
        <v>64</v>
      </c>
      <c r="C32" s="70" t="s">
        <v>255</v>
      </c>
      <c r="D32" s="69">
        <v>1</v>
      </c>
      <c r="E32" s="69">
        <v>1</v>
      </c>
      <c r="F32" s="69">
        <v>1</v>
      </c>
      <c r="G32" s="69">
        <v>200</v>
      </c>
      <c r="H32" s="66">
        <v>7224</v>
      </c>
      <c r="I32" s="69">
        <v>0</v>
      </c>
      <c r="J32" s="79">
        <v>63097</v>
      </c>
      <c r="K32" s="80" t="s">
        <v>72</v>
      </c>
      <c r="L32" s="79">
        <v>63098</v>
      </c>
      <c r="M32" s="80" t="s">
        <v>87</v>
      </c>
      <c r="N32" s="69"/>
      <c r="O32" s="69"/>
      <c r="P32" s="69"/>
      <c r="Q32" s="81"/>
      <c r="R32" s="69"/>
      <c r="S32" s="69">
        <v>1</v>
      </c>
      <c r="T32" s="69">
        <v>1</v>
      </c>
      <c r="U32" s="69"/>
      <c r="V32" s="69"/>
      <c r="W32" s="69"/>
      <c r="X32" s="89">
        <v>500</v>
      </c>
      <c r="Y32" s="95">
        <v>50</v>
      </c>
      <c r="Z32" s="95">
        <v>50</v>
      </c>
      <c r="AA32" s="95">
        <v>50</v>
      </c>
      <c r="AB32" s="76" t="s">
        <v>256</v>
      </c>
      <c r="AC32" s="69"/>
      <c r="AD32" s="73" t="s">
        <v>257</v>
      </c>
      <c r="AE32" s="72" t="s">
        <v>258</v>
      </c>
      <c r="AF32" s="70" t="s">
        <v>259</v>
      </c>
      <c r="AG32" s="70" t="s">
        <v>260</v>
      </c>
      <c r="AH32" s="66" t="s">
        <v>83</v>
      </c>
      <c r="AI32" s="69"/>
      <c r="AJ32" s="69"/>
      <c r="AK32" s="73" t="s">
        <v>261</v>
      </c>
      <c r="AL32" s="73" t="s">
        <v>262</v>
      </c>
      <c r="AM32" s="69"/>
      <c r="AN32" s="69">
        <v>1</v>
      </c>
      <c r="AO32" s="69">
        <v>0</v>
      </c>
      <c r="AP32" s="69">
        <v>1</v>
      </c>
      <c r="AQ32" s="69">
        <v>1</v>
      </c>
      <c r="AR32" s="69">
        <v>0</v>
      </c>
      <c r="AS32" s="69">
        <v>0</v>
      </c>
      <c r="AT32" s="97" t="str">
        <f t="shared" si="3"/>
        <v>{s_taskTalk,{63097,63098}}</v>
      </c>
    </row>
    <row r="33" s="60" customFormat="1" customHeight="1" spans="1:46">
      <c r="A33" s="65">
        <v>7226</v>
      </c>
      <c r="B33" s="71" t="s">
        <v>64</v>
      </c>
      <c r="C33" s="70" t="s">
        <v>263</v>
      </c>
      <c r="D33" s="69">
        <v>1</v>
      </c>
      <c r="E33" s="69">
        <v>1</v>
      </c>
      <c r="F33" s="69">
        <v>1</v>
      </c>
      <c r="G33" s="69">
        <v>200</v>
      </c>
      <c r="H33" s="66">
        <v>7225</v>
      </c>
      <c r="I33" s="69">
        <v>0</v>
      </c>
      <c r="J33" s="79">
        <v>63098</v>
      </c>
      <c r="K33" s="80" t="s">
        <v>87</v>
      </c>
      <c r="L33" s="79">
        <v>63098</v>
      </c>
      <c r="M33" s="80" t="s">
        <v>87</v>
      </c>
      <c r="N33" s="69"/>
      <c r="O33" s="69"/>
      <c r="P33" s="69"/>
      <c r="Q33" s="81"/>
      <c r="R33" s="69"/>
      <c r="S33" s="69">
        <v>1</v>
      </c>
      <c r="T33" s="69">
        <v>1</v>
      </c>
      <c r="U33" s="69"/>
      <c r="V33" s="69"/>
      <c r="W33" s="69"/>
      <c r="X33" s="89">
        <v>600</v>
      </c>
      <c r="Y33" s="95">
        <v>50</v>
      </c>
      <c r="Z33" s="95">
        <v>50</v>
      </c>
      <c r="AA33" s="95">
        <v>50</v>
      </c>
      <c r="AB33" s="76"/>
      <c r="AC33" s="69"/>
      <c r="AD33" s="73" t="s">
        <v>264</v>
      </c>
      <c r="AE33" s="70" t="s">
        <v>265</v>
      </c>
      <c r="AF33" s="70" t="s">
        <v>266</v>
      </c>
      <c r="AG33" s="71"/>
      <c r="AH33" s="66" t="s">
        <v>100</v>
      </c>
      <c r="AI33" s="69"/>
      <c r="AJ33" s="69"/>
      <c r="AK33" s="73" t="s">
        <v>267</v>
      </c>
      <c r="AL33" s="73" t="s">
        <v>268</v>
      </c>
      <c r="AM33" s="69"/>
      <c r="AN33" s="66">
        <v>1</v>
      </c>
      <c r="AO33" s="66">
        <v>0</v>
      </c>
      <c r="AP33" s="66">
        <v>1</v>
      </c>
      <c r="AQ33" s="66">
        <v>1</v>
      </c>
      <c r="AR33" s="69">
        <v>0</v>
      </c>
      <c r="AS33" s="66">
        <v>0</v>
      </c>
      <c r="AT33" s="97" t="str">
        <f t="shared" si="3"/>
        <v>{s_taskTalk,{63098,63098}}</v>
      </c>
    </row>
    <row r="34" s="60" customFormat="1" customHeight="1" spans="1:46">
      <c r="A34" s="65">
        <v>7227</v>
      </c>
      <c r="B34" s="71" t="s">
        <v>64</v>
      </c>
      <c r="C34" s="70" t="s">
        <v>269</v>
      </c>
      <c r="D34" s="69">
        <v>1</v>
      </c>
      <c r="E34" s="69">
        <v>1</v>
      </c>
      <c r="F34" s="69">
        <v>1</v>
      </c>
      <c r="G34" s="69">
        <v>200</v>
      </c>
      <c r="H34" s="66">
        <v>7226</v>
      </c>
      <c r="I34" s="69">
        <v>0</v>
      </c>
      <c r="J34" s="79">
        <v>63098</v>
      </c>
      <c r="K34" s="80" t="s">
        <v>87</v>
      </c>
      <c r="L34" s="79">
        <v>63101</v>
      </c>
      <c r="M34" s="80" t="s">
        <v>269</v>
      </c>
      <c r="N34" s="69"/>
      <c r="O34" s="69"/>
      <c r="P34" s="69"/>
      <c r="Q34" s="81"/>
      <c r="R34" s="69"/>
      <c r="S34" s="69">
        <v>1</v>
      </c>
      <c r="T34" s="69">
        <v>1</v>
      </c>
      <c r="U34" s="69"/>
      <c r="V34" s="69"/>
      <c r="W34" s="69"/>
      <c r="X34" s="89">
        <v>600</v>
      </c>
      <c r="Y34" s="95">
        <v>50</v>
      </c>
      <c r="Z34" s="95">
        <v>50</v>
      </c>
      <c r="AA34" s="95">
        <v>50</v>
      </c>
      <c r="AB34" s="76"/>
      <c r="AC34" s="69"/>
      <c r="AD34" s="73" t="s">
        <v>270</v>
      </c>
      <c r="AE34" s="70" t="s">
        <v>271</v>
      </c>
      <c r="AF34" s="70" t="s">
        <v>272</v>
      </c>
      <c r="AG34" s="70" t="s">
        <v>273</v>
      </c>
      <c r="AH34" s="66" t="s">
        <v>100</v>
      </c>
      <c r="AI34" s="69"/>
      <c r="AJ34" s="69"/>
      <c r="AK34" s="73" t="s">
        <v>274</v>
      </c>
      <c r="AL34" s="73" t="s">
        <v>275</v>
      </c>
      <c r="AM34" s="69"/>
      <c r="AN34" s="66">
        <v>1</v>
      </c>
      <c r="AO34" s="66">
        <v>0</v>
      </c>
      <c r="AP34" s="66">
        <v>1</v>
      </c>
      <c r="AQ34" s="66">
        <v>1</v>
      </c>
      <c r="AR34" s="69">
        <v>0</v>
      </c>
      <c r="AS34" s="66">
        <v>0</v>
      </c>
      <c r="AT34" s="97" t="str">
        <f t="shared" ref="AT34:AT35" si="4">"{s_taskTalk,{"&amp;J34&amp;","&amp;L34&amp;"}}"</f>
        <v>{s_taskTalk,{63098,63101}}</v>
      </c>
    </row>
    <row r="35" s="60" customFormat="1" customHeight="1" spans="1:46">
      <c r="A35" s="65">
        <v>7228</v>
      </c>
      <c r="B35" s="70" t="s">
        <v>94</v>
      </c>
      <c r="C35" s="70" t="s">
        <v>276</v>
      </c>
      <c r="D35" s="69">
        <v>1</v>
      </c>
      <c r="E35" s="69">
        <v>1</v>
      </c>
      <c r="F35" s="69">
        <v>1</v>
      </c>
      <c r="G35" s="69">
        <v>200</v>
      </c>
      <c r="H35" s="66">
        <v>7227</v>
      </c>
      <c r="I35" s="69">
        <v>0</v>
      </c>
      <c r="J35" s="79">
        <v>63101</v>
      </c>
      <c r="K35" s="80" t="s">
        <v>269</v>
      </c>
      <c r="L35" s="79">
        <v>63101</v>
      </c>
      <c r="M35" s="80" t="s">
        <v>269</v>
      </c>
      <c r="N35" s="69"/>
      <c r="O35" s="69"/>
      <c r="P35" s="69"/>
      <c r="Q35" s="81">
        <v>15619</v>
      </c>
      <c r="R35" s="69"/>
      <c r="S35" s="69">
        <v>3</v>
      </c>
      <c r="T35" s="69">
        <v>0</v>
      </c>
      <c r="U35" s="69"/>
      <c r="V35" s="69"/>
      <c r="W35" s="69"/>
      <c r="X35" s="89">
        <v>600</v>
      </c>
      <c r="Y35" s="95">
        <v>50</v>
      </c>
      <c r="Z35" s="95">
        <v>50</v>
      </c>
      <c r="AA35" s="95">
        <v>50</v>
      </c>
      <c r="AB35" s="76" t="s">
        <v>277</v>
      </c>
      <c r="AC35" s="69"/>
      <c r="AD35" s="73" t="s">
        <v>278</v>
      </c>
      <c r="AE35" s="72" t="s">
        <v>279</v>
      </c>
      <c r="AF35" s="72" t="s">
        <v>280</v>
      </c>
      <c r="AG35" s="70" t="s">
        <v>281</v>
      </c>
      <c r="AH35" s="66" t="s">
        <v>282</v>
      </c>
      <c r="AI35" s="69"/>
      <c r="AJ35" s="69"/>
      <c r="AK35" s="73" t="s">
        <v>283</v>
      </c>
      <c r="AL35" s="73" t="s">
        <v>284</v>
      </c>
      <c r="AM35" s="69"/>
      <c r="AN35" s="66">
        <v>1</v>
      </c>
      <c r="AO35" s="66">
        <v>0</v>
      </c>
      <c r="AP35" s="66">
        <v>1</v>
      </c>
      <c r="AQ35" s="66">
        <v>1</v>
      </c>
      <c r="AR35" s="69">
        <v>0</v>
      </c>
      <c r="AS35" s="66">
        <v>0</v>
      </c>
      <c r="AT35" s="97" t="s">
        <v>285</v>
      </c>
    </row>
    <row r="36" s="60" customFormat="1" customHeight="1" spans="1:46">
      <c r="A36" s="65">
        <v>7229</v>
      </c>
      <c r="B36" s="71" t="s">
        <v>64</v>
      </c>
      <c r="C36" s="70" t="s">
        <v>286</v>
      </c>
      <c r="D36" s="69">
        <v>1</v>
      </c>
      <c r="E36" s="69">
        <v>7</v>
      </c>
      <c r="F36" s="69">
        <v>1</v>
      </c>
      <c r="G36" s="69">
        <v>200</v>
      </c>
      <c r="H36" s="66">
        <v>7228</v>
      </c>
      <c r="I36" s="69">
        <v>0</v>
      </c>
      <c r="J36" s="79">
        <v>63101</v>
      </c>
      <c r="K36" s="80" t="s">
        <v>269</v>
      </c>
      <c r="L36" s="79">
        <v>63088</v>
      </c>
      <c r="M36" s="80" t="s">
        <v>287</v>
      </c>
      <c r="N36" s="69"/>
      <c r="O36" s="79"/>
      <c r="P36" s="69"/>
      <c r="Q36" s="79"/>
      <c r="R36" s="69"/>
      <c r="S36" s="69">
        <v>1</v>
      </c>
      <c r="T36" s="69">
        <v>1</v>
      </c>
      <c r="U36" s="69"/>
      <c r="V36" s="69"/>
      <c r="W36" s="69"/>
      <c r="X36" s="89">
        <v>700</v>
      </c>
      <c r="Y36" s="95">
        <v>50</v>
      </c>
      <c r="Z36" s="95">
        <v>50</v>
      </c>
      <c r="AA36" s="95">
        <v>50</v>
      </c>
      <c r="AB36" s="69"/>
      <c r="AC36" s="69"/>
      <c r="AD36" s="96" t="s">
        <v>288</v>
      </c>
      <c r="AE36" s="72" t="s">
        <v>289</v>
      </c>
      <c r="AF36" s="72" t="s">
        <v>290</v>
      </c>
      <c r="AG36" s="70" t="s">
        <v>291</v>
      </c>
      <c r="AH36" s="66" t="s">
        <v>282</v>
      </c>
      <c r="AI36" s="69"/>
      <c r="AJ36" s="69"/>
      <c r="AK36" s="73" t="s">
        <v>292</v>
      </c>
      <c r="AL36" s="73" t="s">
        <v>293</v>
      </c>
      <c r="AM36" s="69"/>
      <c r="AN36" s="66">
        <v>1</v>
      </c>
      <c r="AO36" s="66">
        <v>0</v>
      </c>
      <c r="AP36" s="66">
        <v>1</v>
      </c>
      <c r="AQ36" s="66">
        <v>1</v>
      </c>
      <c r="AR36" s="69">
        <v>0</v>
      </c>
      <c r="AS36" s="66">
        <v>0</v>
      </c>
      <c r="AT36" s="97" t="str">
        <f t="shared" ref="AT36:AT42" si="5">"{s_taskTalk,{"&amp;J36&amp;","&amp;L36&amp;"}}"</f>
        <v>{s_taskTalk,{63101,63088}}</v>
      </c>
    </row>
    <row r="37" s="60" customFormat="1" customHeight="1" spans="1:46">
      <c r="A37" s="65">
        <v>7230</v>
      </c>
      <c r="B37" s="72" t="s">
        <v>64</v>
      </c>
      <c r="C37" s="72" t="s">
        <v>294</v>
      </c>
      <c r="D37" s="69">
        <v>1</v>
      </c>
      <c r="E37" s="69">
        <v>7</v>
      </c>
      <c r="F37" s="69">
        <v>1</v>
      </c>
      <c r="G37" s="69">
        <v>200</v>
      </c>
      <c r="H37" s="66">
        <v>7229</v>
      </c>
      <c r="I37" s="69">
        <v>0</v>
      </c>
      <c r="J37" s="79">
        <v>63088</v>
      </c>
      <c r="K37" s="80" t="s">
        <v>287</v>
      </c>
      <c r="L37" s="79">
        <v>63088</v>
      </c>
      <c r="M37" s="80" t="s">
        <v>287</v>
      </c>
      <c r="N37" s="69"/>
      <c r="O37" s="79"/>
      <c r="P37" s="69"/>
      <c r="Q37" s="79"/>
      <c r="R37" s="69"/>
      <c r="S37" s="69">
        <v>1</v>
      </c>
      <c r="T37" s="69">
        <v>1</v>
      </c>
      <c r="U37" s="69"/>
      <c r="V37" s="69"/>
      <c r="W37" s="69"/>
      <c r="X37" s="89">
        <v>800</v>
      </c>
      <c r="Y37" s="95">
        <v>50</v>
      </c>
      <c r="Z37" s="95">
        <v>50</v>
      </c>
      <c r="AA37" s="95">
        <v>50</v>
      </c>
      <c r="AB37" s="69"/>
      <c r="AC37" s="69"/>
      <c r="AD37" s="96" t="s">
        <v>295</v>
      </c>
      <c r="AE37" s="72" t="s">
        <v>296</v>
      </c>
      <c r="AF37" s="72" t="s">
        <v>297</v>
      </c>
      <c r="AG37" s="71"/>
      <c r="AH37" s="66" t="s">
        <v>298</v>
      </c>
      <c r="AI37" s="69"/>
      <c r="AJ37" s="69"/>
      <c r="AK37" s="73" t="s">
        <v>299</v>
      </c>
      <c r="AL37" s="73" t="s">
        <v>300</v>
      </c>
      <c r="AM37" s="69"/>
      <c r="AN37" s="66">
        <v>1</v>
      </c>
      <c r="AO37" s="66">
        <v>0</v>
      </c>
      <c r="AP37" s="66">
        <v>1</v>
      </c>
      <c r="AQ37" s="66">
        <v>1</v>
      </c>
      <c r="AR37" s="69">
        <v>0</v>
      </c>
      <c r="AS37" s="66">
        <v>0</v>
      </c>
      <c r="AT37" s="97" t="str">
        <f t="shared" si="5"/>
        <v>{s_taskTalk,{63088,63088}}</v>
      </c>
    </row>
    <row r="38" s="60" customFormat="1" customHeight="1" spans="1:46">
      <c r="A38" s="65">
        <v>7231</v>
      </c>
      <c r="B38" s="71" t="s">
        <v>64</v>
      </c>
      <c r="C38" s="72" t="s">
        <v>301</v>
      </c>
      <c r="D38" s="69">
        <v>1</v>
      </c>
      <c r="E38" s="69">
        <v>7</v>
      </c>
      <c r="F38" s="69">
        <v>1</v>
      </c>
      <c r="G38" s="69">
        <v>200</v>
      </c>
      <c r="H38" s="66">
        <v>7230</v>
      </c>
      <c r="I38" s="69">
        <v>0</v>
      </c>
      <c r="J38" s="79">
        <v>63088</v>
      </c>
      <c r="K38" s="80" t="s">
        <v>287</v>
      </c>
      <c r="L38" s="79">
        <v>63088</v>
      </c>
      <c r="M38" s="80" t="s">
        <v>287</v>
      </c>
      <c r="N38" s="69"/>
      <c r="O38" s="79"/>
      <c r="P38" s="69"/>
      <c r="Q38" s="81"/>
      <c r="R38" s="69"/>
      <c r="S38" s="69">
        <v>1</v>
      </c>
      <c r="T38" s="69">
        <v>1</v>
      </c>
      <c r="U38" s="69"/>
      <c r="V38" s="69"/>
      <c r="W38" s="69"/>
      <c r="X38" s="89">
        <v>1000</v>
      </c>
      <c r="Y38" s="95">
        <v>50</v>
      </c>
      <c r="Z38" s="95">
        <v>50</v>
      </c>
      <c r="AA38" s="95">
        <v>50</v>
      </c>
      <c r="AB38" s="69"/>
      <c r="AC38" s="69"/>
      <c r="AD38" s="96" t="s">
        <v>302</v>
      </c>
      <c r="AE38" s="72" t="s">
        <v>303</v>
      </c>
      <c r="AF38" s="72" t="s">
        <v>304</v>
      </c>
      <c r="AG38" s="71"/>
      <c r="AH38" s="66" t="s">
        <v>305</v>
      </c>
      <c r="AI38" s="69"/>
      <c r="AJ38" s="69"/>
      <c r="AK38" s="73" t="s">
        <v>306</v>
      </c>
      <c r="AL38" s="73" t="s">
        <v>307</v>
      </c>
      <c r="AM38" s="69"/>
      <c r="AN38" s="66">
        <v>1</v>
      </c>
      <c r="AO38" s="66">
        <v>0</v>
      </c>
      <c r="AP38" s="66">
        <v>1</v>
      </c>
      <c r="AQ38" s="66">
        <v>1</v>
      </c>
      <c r="AR38" s="69">
        <v>0</v>
      </c>
      <c r="AS38" s="66">
        <v>0</v>
      </c>
      <c r="AT38" s="97" t="str">
        <f t="shared" si="5"/>
        <v>{s_taskTalk,{63088,63088}}</v>
      </c>
    </row>
    <row r="39" s="60" customFormat="1" customHeight="1" spans="1:46">
      <c r="A39" s="65">
        <v>7232</v>
      </c>
      <c r="B39" s="71" t="s">
        <v>308</v>
      </c>
      <c r="C39" s="70" t="s">
        <v>309</v>
      </c>
      <c r="D39" s="69">
        <v>1</v>
      </c>
      <c r="E39" s="69">
        <v>7</v>
      </c>
      <c r="F39" s="69">
        <v>1</v>
      </c>
      <c r="G39" s="69">
        <v>200</v>
      </c>
      <c r="H39" s="66">
        <v>7231</v>
      </c>
      <c r="I39" s="69">
        <v>0</v>
      </c>
      <c r="J39" s="79">
        <v>63088</v>
      </c>
      <c r="K39" s="80" t="s">
        <v>287</v>
      </c>
      <c r="L39" s="79">
        <v>63088</v>
      </c>
      <c r="M39" s="80" t="s">
        <v>287</v>
      </c>
      <c r="N39" s="69"/>
      <c r="O39" s="79"/>
      <c r="P39" s="69"/>
      <c r="Q39" s="81"/>
      <c r="R39" s="69"/>
      <c r="S39" s="69">
        <v>1</v>
      </c>
      <c r="T39" s="69">
        <v>0</v>
      </c>
      <c r="U39" s="69"/>
      <c r="V39" s="69"/>
      <c r="W39" s="69"/>
      <c r="X39" s="89">
        <v>1000</v>
      </c>
      <c r="Y39" s="95">
        <v>50</v>
      </c>
      <c r="Z39" s="95">
        <v>50</v>
      </c>
      <c r="AA39" s="95">
        <v>50</v>
      </c>
      <c r="AB39" s="69"/>
      <c r="AC39" s="69"/>
      <c r="AD39" s="96" t="s">
        <v>310</v>
      </c>
      <c r="AE39" s="72" t="s">
        <v>311</v>
      </c>
      <c r="AF39" s="72" t="s">
        <v>312</v>
      </c>
      <c r="AG39" s="71"/>
      <c r="AH39" s="66" t="s">
        <v>313</v>
      </c>
      <c r="AI39" s="69"/>
      <c r="AJ39" s="69"/>
      <c r="AK39" s="73" t="s">
        <v>314</v>
      </c>
      <c r="AL39" s="73" t="s">
        <v>315</v>
      </c>
      <c r="AM39" s="73" t="s">
        <v>316</v>
      </c>
      <c r="AN39" s="66">
        <v>1</v>
      </c>
      <c r="AO39" s="66">
        <v>0</v>
      </c>
      <c r="AP39" s="66">
        <v>1</v>
      </c>
      <c r="AQ39" s="66">
        <v>1</v>
      </c>
      <c r="AR39" s="69">
        <v>0</v>
      </c>
      <c r="AS39" s="66">
        <v>0</v>
      </c>
      <c r="AT39" s="97" t="str">
        <f t="shared" si="5"/>
        <v>{s_taskTalk,{63088,63088}}</v>
      </c>
    </row>
    <row r="40" s="60" customFormat="1" customHeight="1" spans="1:46">
      <c r="A40" s="65">
        <v>7233</v>
      </c>
      <c r="B40" s="71" t="s">
        <v>94</v>
      </c>
      <c r="C40" s="72" t="s">
        <v>317</v>
      </c>
      <c r="D40" s="69">
        <v>1</v>
      </c>
      <c r="E40" s="69">
        <v>7</v>
      </c>
      <c r="F40" s="69">
        <v>1</v>
      </c>
      <c r="G40" s="69">
        <v>200</v>
      </c>
      <c r="H40" s="66">
        <v>7232</v>
      </c>
      <c r="I40" s="69">
        <v>0</v>
      </c>
      <c r="J40" s="82">
        <v>63088</v>
      </c>
      <c r="K40" s="80" t="s">
        <v>287</v>
      </c>
      <c r="L40" s="82">
        <v>63088</v>
      </c>
      <c r="M40" s="80" t="s">
        <v>287</v>
      </c>
      <c r="N40" s="69"/>
      <c r="O40" s="79"/>
      <c r="P40" s="69"/>
      <c r="Q40" s="81">
        <v>15629</v>
      </c>
      <c r="R40" s="69"/>
      <c r="S40" s="69">
        <v>8</v>
      </c>
      <c r="T40" s="69">
        <v>0</v>
      </c>
      <c r="U40" s="69"/>
      <c r="V40" s="69"/>
      <c r="W40" s="69"/>
      <c r="X40" s="89">
        <v>2500</v>
      </c>
      <c r="Y40" s="95">
        <v>50</v>
      </c>
      <c r="Z40" s="95">
        <v>50</v>
      </c>
      <c r="AA40" s="95">
        <v>50</v>
      </c>
      <c r="AB40" s="69"/>
      <c r="AC40" s="69"/>
      <c r="AD40" s="73" t="s">
        <v>318</v>
      </c>
      <c r="AE40" s="72" t="s">
        <v>319</v>
      </c>
      <c r="AF40" s="72" t="s">
        <v>320</v>
      </c>
      <c r="AG40" s="71" t="s">
        <v>321</v>
      </c>
      <c r="AH40" s="66" t="s">
        <v>322</v>
      </c>
      <c r="AI40" s="69"/>
      <c r="AJ40" s="69"/>
      <c r="AK40" s="73" t="s">
        <v>323</v>
      </c>
      <c r="AL40" s="73" t="s">
        <v>324</v>
      </c>
      <c r="AM40" s="69"/>
      <c r="AN40" s="66">
        <v>1</v>
      </c>
      <c r="AO40" s="66">
        <v>0</v>
      </c>
      <c r="AP40" s="66">
        <v>1</v>
      </c>
      <c r="AQ40" s="66">
        <v>1</v>
      </c>
      <c r="AR40" s="69">
        <v>0</v>
      </c>
      <c r="AS40" s="66">
        <v>0</v>
      </c>
      <c r="AT40" s="73" t="s">
        <v>325</v>
      </c>
    </row>
    <row r="41" s="60" customFormat="1" customHeight="1" spans="1:46">
      <c r="A41" s="65">
        <v>7234</v>
      </c>
      <c r="B41" s="71" t="s">
        <v>64</v>
      </c>
      <c r="C41" s="71" t="s">
        <v>326</v>
      </c>
      <c r="D41" s="69">
        <v>1</v>
      </c>
      <c r="E41" s="69">
        <v>7</v>
      </c>
      <c r="F41" s="69">
        <v>1</v>
      </c>
      <c r="G41" s="69">
        <v>200</v>
      </c>
      <c r="H41" s="66">
        <v>7233</v>
      </c>
      <c r="I41" s="69">
        <v>0</v>
      </c>
      <c r="J41" s="82">
        <v>63088</v>
      </c>
      <c r="K41" s="80" t="s">
        <v>287</v>
      </c>
      <c r="L41" s="82">
        <v>63088</v>
      </c>
      <c r="M41" s="80" t="s">
        <v>287</v>
      </c>
      <c r="N41" s="69"/>
      <c r="O41" s="79"/>
      <c r="P41" s="69"/>
      <c r="Q41" s="81"/>
      <c r="R41" s="69"/>
      <c r="S41" s="69">
        <v>1</v>
      </c>
      <c r="T41" s="69">
        <v>1</v>
      </c>
      <c r="U41" s="69"/>
      <c r="V41" s="69"/>
      <c r="W41" s="69"/>
      <c r="X41" s="89">
        <v>1200</v>
      </c>
      <c r="Y41" s="95">
        <v>50</v>
      </c>
      <c r="Z41" s="95">
        <v>50</v>
      </c>
      <c r="AA41" s="95">
        <v>50</v>
      </c>
      <c r="AB41" s="69"/>
      <c r="AC41" s="69"/>
      <c r="AD41" s="73" t="s">
        <v>327</v>
      </c>
      <c r="AE41" s="72" t="s">
        <v>328</v>
      </c>
      <c r="AF41" s="72" t="s">
        <v>329</v>
      </c>
      <c r="AG41" s="71"/>
      <c r="AH41" s="66" t="s">
        <v>305</v>
      </c>
      <c r="AI41" s="69"/>
      <c r="AJ41" s="69"/>
      <c r="AK41" s="73" t="s">
        <v>330</v>
      </c>
      <c r="AL41" s="73" t="s">
        <v>331</v>
      </c>
      <c r="AM41" s="69"/>
      <c r="AN41" s="66">
        <v>1</v>
      </c>
      <c r="AO41" s="66">
        <v>0</v>
      </c>
      <c r="AP41" s="66">
        <v>1</v>
      </c>
      <c r="AQ41" s="66">
        <v>1</v>
      </c>
      <c r="AR41" s="69">
        <v>0</v>
      </c>
      <c r="AS41" s="66">
        <v>0</v>
      </c>
      <c r="AT41" s="97" t="str">
        <f t="shared" si="5"/>
        <v>{s_taskTalk,{63088,63088}}</v>
      </c>
    </row>
    <row r="42" s="60" customFormat="1" customHeight="1" spans="1:46">
      <c r="A42" s="65">
        <v>7235</v>
      </c>
      <c r="B42" s="71" t="s">
        <v>64</v>
      </c>
      <c r="C42" s="71" t="s">
        <v>332</v>
      </c>
      <c r="D42" s="69">
        <v>1</v>
      </c>
      <c r="E42" s="69">
        <v>7</v>
      </c>
      <c r="F42" s="69">
        <v>1</v>
      </c>
      <c r="G42" s="69">
        <v>200</v>
      </c>
      <c r="H42" s="66">
        <v>7234</v>
      </c>
      <c r="I42" s="69">
        <v>0</v>
      </c>
      <c r="J42" s="79">
        <v>63088</v>
      </c>
      <c r="K42" s="80" t="s">
        <v>287</v>
      </c>
      <c r="L42" s="79">
        <v>63088</v>
      </c>
      <c r="M42" s="80" t="s">
        <v>287</v>
      </c>
      <c r="N42" s="69"/>
      <c r="O42" s="79"/>
      <c r="P42" s="69"/>
      <c r="Q42" s="81"/>
      <c r="R42" s="69"/>
      <c r="S42" s="69">
        <v>1</v>
      </c>
      <c r="T42" s="69">
        <v>1</v>
      </c>
      <c r="U42" s="69"/>
      <c r="V42" s="69"/>
      <c r="W42" s="69"/>
      <c r="X42" s="89">
        <v>1200</v>
      </c>
      <c r="Y42" s="95">
        <v>50</v>
      </c>
      <c r="Z42" s="95">
        <v>50</v>
      </c>
      <c r="AA42" s="95">
        <v>50</v>
      </c>
      <c r="AB42" s="69"/>
      <c r="AC42" s="69"/>
      <c r="AD42" s="73" t="s">
        <v>333</v>
      </c>
      <c r="AE42" s="72" t="s">
        <v>334</v>
      </c>
      <c r="AF42" s="72" t="s">
        <v>335</v>
      </c>
      <c r="AG42" s="71"/>
      <c r="AH42" s="66" t="s">
        <v>305</v>
      </c>
      <c r="AI42" s="69"/>
      <c r="AJ42" s="69"/>
      <c r="AK42" s="73" t="s">
        <v>336</v>
      </c>
      <c r="AL42" s="73" t="s">
        <v>337</v>
      </c>
      <c r="AM42" s="69"/>
      <c r="AN42" s="66">
        <v>1</v>
      </c>
      <c r="AO42" s="66">
        <v>0</v>
      </c>
      <c r="AP42" s="66">
        <v>1</v>
      </c>
      <c r="AQ42" s="66">
        <v>1</v>
      </c>
      <c r="AR42" s="69">
        <v>0</v>
      </c>
      <c r="AS42" s="66">
        <v>0</v>
      </c>
      <c r="AT42" s="97" t="str">
        <f t="shared" si="5"/>
        <v>{s_taskTalk,{63088,63088}}</v>
      </c>
    </row>
    <row r="43" s="60" customFormat="1" customHeight="1" spans="1:46">
      <c r="A43" s="65">
        <v>7236</v>
      </c>
      <c r="B43" s="72" t="s">
        <v>338</v>
      </c>
      <c r="C43" s="72" t="s">
        <v>339</v>
      </c>
      <c r="D43" s="69">
        <v>1</v>
      </c>
      <c r="E43" s="69">
        <v>7</v>
      </c>
      <c r="F43" s="69">
        <v>1</v>
      </c>
      <c r="G43" s="69">
        <v>200</v>
      </c>
      <c r="H43" s="66">
        <v>7235</v>
      </c>
      <c r="I43" s="69">
        <v>0</v>
      </c>
      <c r="J43" s="79">
        <v>63088</v>
      </c>
      <c r="K43" s="80" t="s">
        <v>287</v>
      </c>
      <c r="L43" s="79">
        <v>63089</v>
      </c>
      <c r="M43" s="80" t="s">
        <v>340</v>
      </c>
      <c r="N43" s="69"/>
      <c r="O43" s="79"/>
      <c r="P43" s="69"/>
      <c r="Q43" s="81">
        <v>15630</v>
      </c>
      <c r="R43" s="69"/>
      <c r="S43" s="69">
        <v>8</v>
      </c>
      <c r="T43" s="69">
        <v>0</v>
      </c>
      <c r="U43" s="69"/>
      <c r="V43" s="69"/>
      <c r="W43" s="69"/>
      <c r="X43" s="89">
        <v>3000</v>
      </c>
      <c r="Y43" s="95">
        <v>50</v>
      </c>
      <c r="Z43" s="95">
        <v>50</v>
      </c>
      <c r="AA43" s="95">
        <v>50</v>
      </c>
      <c r="AB43" s="69"/>
      <c r="AC43" s="69"/>
      <c r="AD43" s="73" t="s">
        <v>341</v>
      </c>
      <c r="AE43" s="72" t="s">
        <v>342</v>
      </c>
      <c r="AF43" s="72" t="s">
        <v>343</v>
      </c>
      <c r="AG43" s="70"/>
      <c r="AH43" s="66" t="s">
        <v>344</v>
      </c>
      <c r="AI43" s="69"/>
      <c r="AJ43" s="69"/>
      <c r="AK43" s="73" t="s">
        <v>345</v>
      </c>
      <c r="AL43" s="73" t="s">
        <v>346</v>
      </c>
      <c r="AM43" s="66" t="s">
        <v>347</v>
      </c>
      <c r="AN43" s="66">
        <v>1</v>
      </c>
      <c r="AO43" s="66">
        <v>0</v>
      </c>
      <c r="AP43" s="66">
        <v>1</v>
      </c>
      <c r="AQ43" s="66">
        <v>1</v>
      </c>
      <c r="AR43" s="69">
        <v>0</v>
      </c>
      <c r="AS43" s="66">
        <v>0</v>
      </c>
      <c r="AT43" s="73" t="s">
        <v>348</v>
      </c>
    </row>
    <row r="44" s="60" customFormat="1" customHeight="1" spans="1:46">
      <c r="A44" s="65">
        <v>7237</v>
      </c>
      <c r="B44" s="71" t="s">
        <v>64</v>
      </c>
      <c r="C44" s="71" t="s">
        <v>349</v>
      </c>
      <c r="D44" s="69">
        <v>1</v>
      </c>
      <c r="E44" s="69">
        <v>7</v>
      </c>
      <c r="F44" s="69">
        <v>1</v>
      </c>
      <c r="G44" s="69">
        <v>200</v>
      </c>
      <c r="H44" s="66">
        <v>7236</v>
      </c>
      <c r="I44" s="69">
        <v>0</v>
      </c>
      <c r="J44" s="79">
        <v>63089</v>
      </c>
      <c r="K44" s="80" t="s">
        <v>340</v>
      </c>
      <c r="L44" s="79">
        <v>63089</v>
      </c>
      <c r="M44" s="80" t="s">
        <v>340</v>
      </c>
      <c r="N44" s="69"/>
      <c r="O44" s="79"/>
      <c r="P44" s="69"/>
      <c r="Q44" s="81"/>
      <c r="R44" s="69"/>
      <c r="S44" s="69">
        <v>1</v>
      </c>
      <c r="T44" s="69">
        <v>1</v>
      </c>
      <c r="U44" s="69"/>
      <c r="V44" s="69"/>
      <c r="W44" s="69"/>
      <c r="X44" s="89">
        <v>1400</v>
      </c>
      <c r="Y44" s="95">
        <v>50</v>
      </c>
      <c r="Z44" s="95">
        <v>50</v>
      </c>
      <c r="AA44" s="95">
        <v>50</v>
      </c>
      <c r="AB44" s="69"/>
      <c r="AC44" s="69"/>
      <c r="AD44" s="73" t="s">
        <v>350</v>
      </c>
      <c r="AE44" s="72" t="s">
        <v>351</v>
      </c>
      <c r="AF44" s="72" t="s">
        <v>352</v>
      </c>
      <c r="AG44" s="71"/>
      <c r="AH44" s="66" t="s">
        <v>353</v>
      </c>
      <c r="AI44" s="69"/>
      <c r="AJ44" s="69"/>
      <c r="AK44" s="73" t="s">
        <v>354</v>
      </c>
      <c r="AL44" s="73" t="s">
        <v>355</v>
      </c>
      <c r="AM44" s="69"/>
      <c r="AN44" s="66">
        <v>1</v>
      </c>
      <c r="AO44" s="66">
        <v>0</v>
      </c>
      <c r="AP44" s="66">
        <v>1</v>
      </c>
      <c r="AQ44" s="66">
        <v>1</v>
      </c>
      <c r="AR44" s="69">
        <v>0</v>
      </c>
      <c r="AS44" s="66">
        <v>0</v>
      </c>
      <c r="AT44" s="97" t="str">
        <f t="shared" ref="AT44" si="6">"{s_taskTalk,{"&amp;J44&amp;","&amp;L44&amp;"}}"</f>
        <v>{s_taskTalk,{63089,63089}}</v>
      </c>
    </row>
    <row r="45" s="60" customFormat="1" customHeight="1" spans="1:46">
      <c r="A45" s="65">
        <v>7238</v>
      </c>
      <c r="B45" s="70" t="s">
        <v>356</v>
      </c>
      <c r="C45" s="71" t="s">
        <v>357</v>
      </c>
      <c r="D45" s="69">
        <v>1</v>
      </c>
      <c r="E45" s="69">
        <v>7</v>
      </c>
      <c r="F45" s="69">
        <v>1</v>
      </c>
      <c r="G45" s="69">
        <v>200</v>
      </c>
      <c r="H45" s="66">
        <v>7237</v>
      </c>
      <c r="I45" s="69">
        <v>0</v>
      </c>
      <c r="J45" s="79">
        <v>63089</v>
      </c>
      <c r="K45" s="80" t="s">
        <v>340</v>
      </c>
      <c r="L45" s="79">
        <v>63089</v>
      </c>
      <c r="M45" s="80" t="s">
        <v>340</v>
      </c>
      <c r="N45" s="69"/>
      <c r="O45" s="79"/>
      <c r="P45" s="69"/>
      <c r="Q45" s="81">
        <v>15634</v>
      </c>
      <c r="R45" s="69"/>
      <c r="S45" s="69">
        <v>8</v>
      </c>
      <c r="T45" s="69">
        <v>0</v>
      </c>
      <c r="U45" s="69"/>
      <c r="V45" s="69"/>
      <c r="W45" s="69"/>
      <c r="X45" s="89">
        <v>3500</v>
      </c>
      <c r="Y45" s="95">
        <v>50</v>
      </c>
      <c r="Z45" s="95">
        <v>50</v>
      </c>
      <c r="AA45" s="95">
        <v>50</v>
      </c>
      <c r="AB45" s="69"/>
      <c r="AC45" s="69"/>
      <c r="AD45" s="73" t="s">
        <v>358</v>
      </c>
      <c r="AE45" s="70" t="s">
        <v>359</v>
      </c>
      <c r="AF45" s="70" t="s">
        <v>360</v>
      </c>
      <c r="AG45" s="71" t="s">
        <v>361</v>
      </c>
      <c r="AH45" s="66" t="s">
        <v>362</v>
      </c>
      <c r="AI45" s="69"/>
      <c r="AJ45" s="69"/>
      <c r="AK45" s="73" t="s">
        <v>363</v>
      </c>
      <c r="AL45" s="73" t="s">
        <v>364</v>
      </c>
      <c r="AM45" s="66"/>
      <c r="AN45" s="66">
        <v>1</v>
      </c>
      <c r="AO45" s="66">
        <v>0</v>
      </c>
      <c r="AP45" s="66">
        <v>1</v>
      </c>
      <c r="AQ45" s="66">
        <v>1</v>
      </c>
      <c r="AR45" s="69">
        <v>0</v>
      </c>
      <c r="AS45" s="66">
        <v>0</v>
      </c>
      <c r="AT45" s="73" t="s">
        <v>365</v>
      </c>
    </row>
    <row r="46" s="60" customFormat="1" customHeight="1" spans="1:46">
      <c r="A46" s="65">
        <v>7239</v>
      </c>
      <c r="B46" s="71" t="s">
        <v>64</v>
      </c>
      <c r="C46" s="71" t="s">
        <v>366</v>
      </c>
      <c r="D46" s="69">
        <v>1</v>
      </c>
      <c r="E46" s="69">
        <v>7</v>
      </c>
      <c r="F46" s="69">
        <v>1</v>
      </c>
      <c r="G46" s="69">
        <v>200</v>
      </c>
      <c r="H46" s="66">
        <v>7238</v>
      </c>
      <c r="I46" s="69">
        <v>0</v>
      </c>
      <c r="J46" s="79">
        <v>63089</v>
      </c>
      <c r="K46" s="80" t="s">
        <v>340</v>
      </c>
      <c r="L46" s="79">
        <v>63089</v>
      </c>
      <c r="M46" s="80" t="s">
        <v>340</v>
      </c>
      <c r="N46" s="69"/>
      <c r="O46" s="79"/>
      <c r="P46" s="69"/>
      <c r="Q46" s="81"/>
      <c r="R46" s="69"/>
      <c r="S46" s="69">
        <v>1</v>
      </c>
      <c r="T46" s="69">
        <v>1</v>
      </c>
      <c r="U46" s="69"/>
      <c r="V46" s="69"/>
      <c r="W46" s="69"/>
      <c r="X46" s="89">
        <v>1600</v>
      </c>
      <c r="Y46" s="95">
        <v>50</v>
      </c>
      <c r="Z46" s="95">
        <v>50</v>
      </c>
      <c r="AA46" s="95">
        <v>50</v>
      </c>
      <c r="AB46" s="90"/>
      <c r="AC46" s="69"/>
      <c r="AD46" s="73" t="s">
        <v>367</v>
      </c>
      <c r="AE46" s="70" t="s">
        <v>368</v>
      </c>
      <c r="AF46" s="70" t="s">
        <v>369</v>
      </c>
      <c r="AG46" s="71"/>
      <c r="AH46" s="66" t="s">
        <v>370</v>
      </c>
      <c r="AI46" s="69"/>
      <c r="AJ46" s="69"/>
      <c r="AK46" s="73" t="s">
        <v>371</v>
      </c>
      <c r="AL46" s="73" t="s">
        <v>372</v>
      </c>
      <c r="AM46" s="69"/>
      <c r="AN46" s="66">
        <v>1</v>
      </c>
      <c r="AO46" s="66">
        <v>0</v>
      </c>
      <c r="AP46" s="66">
        <v>1</v>
      </c>
      <c r="AQ46" s="66">
        <v>1</v>
      </c>
      <c r="AR46" s="69">
        <v>0</v>
      </c>
      <c r="AS46" s="66">
        <v>0</v>
      </c>
      <c r="AT46" s="97" t="str">
        <f t="shared" ref="AT46" si="7">"{s_taskTalk,{"&amp;J46&amp;","&amp;L46&amp;"}}"</f>
        <v>{s_taskTalk,{63089,63089}}</v>
      </c>
    </row>
    <row r="47" s="60" customFormat="1" customHeight="1" spans="1:46">
      <c r="A47" s="65">
        <v>7240</v>
      </c>
      <c r="B47" s="71" t="s">
        <v>94</v>
      </c>
      <c r="C47" s="71" t="s">
        <v>373</v>
      </c>
      <c r="D47" s="69">
        <v>1</v>
      </c>
      <c r="E47" s="69">
        <v>7</v>
      </c>
      <c r="F47" s="69">
        <v>1</v>
      </c>
      <c r="G47" s="69">
        <v>200</v>
      </c>
      <c r="H47" s="66">
        <v>7239</v>
      </c>
      <c r="I47" s="69">
        <v>0</v>
      </c>
      <c r="J47" s="79">
        <v>63089</v>
      </c>
      <c r="K47" s="80" t="s">
        <v>340</v>
      </c>
      <c r="L47" s="79">
        <v>63089</v>
      </c>
      <c r="M47" s="80" t="s">
        <v>340</v>
      </c>
      <c r="N47" s="69"/>
      <c r="O47" s="81"/>
      <c r="P47" s="69"/>
      <c r="Q47" s="81">
        <v>15635</v>
      </c>
      <c r="R47" s="69"/>
      <c r="S47" s="69">
        <v>10</v>
      </c>
      <c r="T47" s="69">
        <v>0</v>
      </c>
      <c r="U47" s="69"/>
      <c r="V47" s="69"/>
      <c r="W47" s="69"/>
      <c r="X47" s="89">
        <v>4000</v>
      </c>
      <c r="Y47" s="95">
        <v>50</v>
      </c>
      <c r="Z47" s="95">
        <v>50</v>
      </c>
      <c r="AA47" s="95">
        <v>50</v>
      </c>
      <c r="AB47" s="90" t="s">
        <v>374</v>
      </c>
      <c r="AC47" s="69"/>
      <c r="AD47" s="73" t="s">
        <v>375</v>
      </c>
      <c r="AE47" s="70" t="s">
        <v>376</v>
      </c>
      <c r="AF47" s="70" t="s">
        <v>377</v>
      </c>
      <c r="AG47" s="71"/>
      <c r="AH47" s="66" t="s">
        <v>378</v>
      </c>
      <c r="AI47" s="69"/>
      <c r="AJ47" s="69"/>
      <c r="AK47" s="73" t="s">
        <v>379</v>
      </c>
      <c r="AL47" s="73" t="s">
        <v>380</v>
      </c>
      <c r="AM47" s="69"/>
      <c r="AN47" s="66">
        <v>1</v>
      </c>
      <c r="AO47" s="66">
        <v>0</v>
      </c>
      <c r="AP47" s="66">
        <v>1</v>
      </c>
      <c r="AQ47" s="66">
        <v>1</v>
      </c>
      <c r="AR47" s="69">
        <v>0</v>
      </c>
      <c r="AS47" s="66">
        <v>0</v>
      </c>
      <c r="AT47" s="73" t="s">
        <v>381</v>
      </c>
    </row>
    <row r="48" s="60" customFormat="1" customHeight="1" spans="1:46">
      <c r="A48" s="65">
        <v>7241</v>
      </c>
      <c r="B48" s="71" t="s">
        <v>64</v>
      </c>
      <c r="C48" s="71" t="s">
        <v>382</v>
      </c>
      <c r="D48" s="69">
        <v>1</v>
      </c>
      <c r="E48" s="69">
        <v>7</v>
      </c>
      <c r="F48" s="69">
        <v>1</v>
      </c>
      <c r="G48" s="69">
        <v>200</v>
      </c>
      <c r="H48" s="66">
        <v>7240</v>
      </c>
      <c r="I48" s="69">
        <v>0</v>
      </c>
      <c r="J48" s="79">
        <v>63089</v>
      </c>
      <c r="K48" s="80" t="s">
        <v>340</v>
      </c>
      <c r="L48" s="79">
        <v>63089</v>
      </c>
      <c r="M48" s="80" t="s">
        <v>340</v>
      </c>
      <c r="N48" s="69"/>
      <c r="O48" s="79"/>
      <c r="P48" s="69"/>
      <c r="Q48" s="81"/>
      <c r="R48" s="69"/>
      <c r="S48" s="69">
        <v>1</v>
      </c>
      <c r="T48" s="69">
        <v>1</v>
      </c>
      <c r="U48" s="69"/>
      <c r="V48" s="69"/>
      <c r="W48" s="69"/>
      <c r="X48" s="89">
        <v>1800</v>
      </c>
      <c r="Y48" s="95">
        <v>50</v>
      </c>
      <c r="Z48" s="95">
        <v>50</v>
      </c>
      <c r="AA48" s="95">
        <v>50</v>
      </c>
      <c r="AB48" s="69"/>
      <c r="AC48" s="69"/>
      <c r="AD48" s="73" t="s">
        <v>383</v>
      </c>
      <c r="AE48" s="70" t="s">
        <v>384</v>
      </c>
      <c r="AF48" s="70" t="s">
        <v>385</v>
      </c>
      <c r="AG48" s="71"/>
      <c r="AH48" s="66" t="s">
        <v>386</v>
      </c>
      <c r="AI48" s="69"/>
      <c r="AJ48" s="69"/>
      <c r="AK48" s="73" t="s">
        <v>387</v>
      </c>
      <c r="AL48" s="73" t="s">
        <v>388</v>
      </c>
      <c r="AM48" s="69"/>
      <c r="AN48" s="66">
        <v>1</v>
      </c>
      <c r="AO48" s="66">
        <v>0</v>
      </c>
      <c r="AP48" s="66">
        <v>1</v>
      </c>
      <c r="AQ48" s="66">
        <v>1</v>
      </c>
      <c r="AR48" s="69">
        <v>0</v>
      </c>
      <c r="AS48" s="66">
        <v>0</v>
      </c>
      <c r="AT48" s="97" t="str">
        <f t="shared" ref="AT48" si="8">"{s_taskTalk,{"&amp;J48&amp;","&amp;L48&amp;"}}"</f>
        <v>{s_taskTalk,{63089,63089}}</v>
      </c>
    </row>
    <row r="49" s="60" customFormat="1" customHeight="1" spans="1:46">
      <c r="A49" s="65">
        <v>7242</v>
      </c>
      <c r="B49" s="71" t="s">
        <v>94</v>
      </c>
      <c r="C49" s="71" t="s">
        <v>389</v>
      </c>
      <c r="D49" s="69">
        <v>1</v>
      </c>
      <c r="E49" s="69">
        <v>7</v>
      </c>
      <c r="F49" s="69">
        <v>1</v>
      </c>
      <c r="G49" s="69">
        <v>200</v>
      </c>
      <c r="H49" s="66">
        <v>7241</v>
      </c>
      <c r="I49" s="69">
        <v>0</v>
      </c>
      <c r="J49" s="79">
        <v>63089</v>
      </c>
      <c r="K49" s="80" t="s">
        <v>340</v>
      </c>
      <c r="L49" s="79">
        <v>63089</v>
      </c>
      <c r="M49" s="80" t="s">
        <v>340</v>
      </c>
      <c r="N49" s="69"/>
      <c r="O49" s="79"/>
      <c r="P49" s="69"/>
      <c r="Q49" s="81">
        <v>15633</v>
      </c>
      <c r="R49" s="69"/>
      <c r="S49" s="69">
        <v>10</v>
      </c>
      <c r="T49" s="69">
        <v>0</v>
      </c>
      <c r="U49" s="69"/>
      <c r="V49" s="69"/>
      <c r="W49" s="69"/>
      <c r="X49" s="89">
        <v>4500</v>
      </c>
      <c r="Y49" s="95">
        <v>50</v>
      </c>
      <c r="Z49" s="95">
        <v>50</v>
      </c>
      <c r="AA49" s="95">
        <v>50</v>
      </c>
      <c r="AB49" s="69"/>
      <c r="AC49" s="69"/>
      <c r="AD49" s="73" t="s">
        <v>390</v>
      </c>
      <c r="AE49" s="70" t="s">
        <v>391</v>
      </c>
      <c r="AF49" s="70" t="s">
        <v>392</v>
      </c>
      <c r="AG49" s="71" t="s">
        <v>393</v>
      </c>
      <c r="AH49" s="66" t="s">
        <v>394</v>
      </c>
      <c r="AI49" s="69"/>
      <c r="AJ49" s="69"/>
      <c r="AK49" s="73" t="s">
        <v>395</v>
      </c>
      <c r="AL49" s="73" t="s">
        <v>396</v>
      </c>
      <c r="AM49" s="69"/>
      <c r="AN49" s="66">
        <v>1</v>
      </c>
      <c r="AO49" s="66">
        <v>0</v>
      </c>
      <c r="AP49" s="66">
        <v>1</v>
      </c>
      <c r="AQ49" s="66">
        <v>1</v>
      </c>
      <c r="AR49" s="69">
        <v>0</v>
      </c>
      <c r="AS49" s="66">
        <v>0</v>
      </c>
      <c r="AT49" s="73" t="s">
        <v>397</v>
      </c>
    </row>
    <row r="50" s="60" customFormat="1" customHeight="1" spans="1:46">
      <c r="A50" s="65">
        <v>7243</v>
      </c>
      <c r="B50" s="71" t="s">
        <v>64</v>
      </c>
      <c r="C50" s="71" t="s">
        <v>398</v>
      </c>
      <c r="D50" s="69">
        <v>1</v>
      </c>
      <c r="E50" s="69">
        <v>7</v>
      </c>
      <c r="F50" s="69">
        <v>1</v>
      </c>
      <c r="G50" s="69">
        <v>200</v>
      </c>
      <c r="H50" s="66">
        <v>7242</v>
      </c>
      <c r="I50" s="69">
        <v>0</v>
      </c>
      <c r="J50" s="79">
        <v>63089</v>
      </c>
      <c r="K50" s="80" t="s">
        <v>340</v>
      </c>
      <c r="L50" s="83">
        <v>63090</v>
      </c>
      <c r="M50" s="84" t="s">
        <v>399</v>
      </c>
      <c r="N50" s="69"/>
      <c r="O50" s="79"/>
      <c r="P50" s="69"/>
      <c r="Q50" s="81"/>
      <c r="R50" s="69"/>
      <c r="S50" s="69">
        <v>1</v>
      </c>
      <c r="T50" s="69">
        <v>1</v>
      </c>
      <c r="U50" s="69"/>
      <c r="V50" s="69"/>
      <c r="W50" s="69"/>
      <c r="X50" s="89">
        <v>2000</v>
      </c>
      <c r="Y50" s="95">
        <v>50</v>
      </c>
      <c r="Z50" s="95">
        <v>50</v>
      </c>
      <c r="AA50" s="95">
        <v>50</v>
      </c>
      <c r="AB50" s="69"/>
      <c r="AC50" s="69"/>
      <c r="AD50" s="73" t="s">
        <v>400</v>
      </c>
      <c r="AE50" s="70" t="s">
        <v>401</v>
      </c>
      <c r="AF50" s="70" t="s">
        <v>402</v>
      </c>
      <c r="AG50" s="71" t="s">
        <v>403</v>
      </c>
      <c r="AH50" s="66" t="s">
        <v>404</v>
      </c>
      <c r="AI50" s="69"/>
      <c r="AJ50" s="69"/>
      <c r="AK50" s="73" t="s">
        <v>405</v>
      </c>
      <c r="AL50" s="73" t="s">
        <v>406</v>
      </c>
      <c r="AM50" s="69"/>
      <c r="AN50" s="66">
        <v>1</v>
      </c>
      <c r="AO50" s="66">
        <v>0</v>
      </c>
      <c r="AP50" s="66">
        <v>1</v>
      </c>
      <c r="AQ50" s="66">
        <v>1</v>
      </c>
      <c r="AR50" s="69">
        <v>0</v>
      </c>
      <c r="AS50" s="66">
        <v>0</v>
      </c>
      <c r="AT50" s="97" t="str">
        <f t="shared" ref="AT50" si="9">"{s_taskTalk,{"&amp;J50&amp;","&amp;L50&amp;"}}"</f>
        <v>{s_taskTalk,{63089,63090}}</v>
      </c>
    </row>
    <row r="51" s="60" customFormat="1" customHeight="1" spans="1:46">
      <c r="A51" s="65">
        <v>7244</v>
      </c>
      <c r="B51" s="71" t="s">
        <v>94</v>
      </c>
      <c r="C51" s="71" t="s">
        <v>407</v>
      </c>
      <c r="D51" s="69">
        <v>1</v>
      </c>
      <c r="E51" s="69">
        <v>7</v>
      </c>
      <c r="F51" s="69">
        <v>1</v>
      </c>
      <c r="G51" s="69">
        <v>200</v>
      </c>
      <c r="H51" s="66">
        <v>7243</v>
      </c>
      <c r="I51" s="69">
        <v>0</v>
      </c>
      <c r="J51" s="81">
        <v>63090</v>
      </c>
      <c r="K51" s="84" t="s">
        <v>399</v>
      </c>
      <c r="L51" s="83">
        <v>63090</v>
      </c>
      <c r="M51" s="84" t="s">
        <v>399</v>
      </c>
      <c r="N51" s="69"/>
      <c r="O51" s="79"/>
      <c r="P51" s="69"/>
      <c r="Q51" s="81">
        <v>15623</v>
      </c>
      <c r="R51" s="69"/>
      <c r="S51" s="69">
        <v>10</v>
      </c>
      <c r="T51" s="69">
        <v>0</v>
      </c>
      <c r="U51" s="69"/>
      <c r="V51" s="69"/>
      <c r="W51" s="69"/>
      <c r="X51" s="89">
        <v>5000</v>
      </c>
      <c r="Y51" s="95">
        <v>50</v>
      </c>
      <c r="Z51" s="95">
        <v>50</v>
      </c>
      <c r="AA51" s="95">
        <v>50</v>
      </c>
      <c r="AB51" s="69"/>
      <c r="AC51" s="69"/>
      <c r="AD51" s="73" t="s">
        <v>408</v>
      </c>
      <c r="AE51" s="70" t="s">
        <v>409</v>
      </c>
      <c r="AF51" s="70" t="s">
        <v>410</v>
      </c>
      <c r="AG51" s="71" t="s">
        <v>411</v>
      </c>
      <c r="AH51" s="66" t="s">
        <v>412</v>
      </c>
      <c r="AI51" s="69"/>
      <c r="AJ51" s="69"/>
      <c r="AK51" s="73" t="s">
        <v>413</v>
      </c>
      <c r="AL51" s="73" t="s">
        <v>414</v>
      </c>
      <c r="AM51" s="69"/>
      <c r="AN51" s="66">
        <v>1</v>
      </c>
      <c r="AO51" s="66">
        <v>0</v>
      </c>
      <c r="AP51" s="66">
        <v>1</v>
      </c>
      <c r="AQ51" s="66">
        <v>1</v>
      </c>
      <c r="AR51" s="69">
        <v>0</v>
      </c>
      <c r="AS51" s="66">
        <v>0</v>
      </c>
      <c r="AT51" s="73" t="s">
        <v>415</v>
      </c>
    </row>
    <row r="52" s="60" customFormat="1" customHeight="1" spans="1:46">
      <c r="A52" s="65">
        <v>7245</v>
      </c>
      <c r="B52" s="71" t="s">
        <v>64</v>
      </c>
      <c r="C52" s="70" t="s">
        <v>416</v>
      </c>
      <c r="D52" s="69">
        <v>1</v>
      </c>
      <c r="E52" s="69">
        <v>7</v>
      </c>
      <c r="F52" s="69">
        <v>1</v>
      </c>
      <c r="G52" s="69">
        <v>200</v>
      </c>
      <c r="H52" s="66">
        <v>7244</v>
      </c>
      <c r="I52" s="69">
        <v>0</v>
      </c>
      <c r="J52" s="81">
        <v>63090</v>
      </c>
      <c r="K52" s="84" t="s">
        <v>399</v>
      </c>
      <c r="L52" s="83">
        <v>63090</v>
      </c>
      <c r="M52" s="84" t="s">
        <v>399</v>
      </c>
      <c r="N52" s="69"/>
      <c r="O52" s="79"/>
      <c r="P52" s="69"/>
      <c r="Q52" s="81"/>
      <c r="R52" s="69"/>
      <c r="S52" s="69">
        <v>1</v>
      </c>
      <c r="T52" s="69">
        <v>1</v>
      </c>
      <c r="U52" s="69"/>
      <c r="V52" s="69"/>
      <c r="W52" s="69"/>
      <c r="X52" s="89">
        <v>2200</v>
      </c>
      <c r="Y52" s="95">
        <v>50</v>
      </c>
      <c r="Z52" s="95">
        <v>50</v>
      </c>
      <c r="AA52" s="95">
        <v>50</v>
      </c>
      <c r="AB52" s="69"/>
      <c r="AC52" s="69"/>
      <c r="AD52" s="73" t="s">
        <v>400</v>
      </c>
      <c r="AE52" s="70" t="s">
        <v>417</v>
      </c>
      <c r="AF52" s="70" t="s">
        <v>418</v>
      </c>
      <c r="AG52" s="71"/>
      <c r="AH52" s="66" t="s">
        <v>419</v>
      </c>
      <c r="AI52" s="69"/>
      <c r="AJ52" s="69"/>
      <c r="AK52" s="73" t="s">
        <v>420</v>
      </c>
      <c r="AL52" s="73" t="s">
        <v>421</v>
      </c>
      <c r="AM52" s="69"/>
      <c r="AN52" s="66">
        <v>1</v>
      </c>
      <c r="AO52" s="66">
        <v>0</v>
      </c>
      <c r="AP52" s="66">
        <v>1</v>
      </c>
      <c r="AQ52" s="66">
        <v>1</v>
      </c>
      <c r="AR52" s="69">
        <v>0</v>
      </c>
      <c r="AS52" s="66">
        <v>0</v>
      </c>
      <c r="AT52" s="97" t="str">
        <f t="shared" ref="AT52" si="10">"{s_taskTalk,{"&amp;J52&amp;","&amp;L52&amp;"}}"</f>
        <v>{s_taskTalk,{63090,63090}}</v>
      </c>
    </row>
    <row r="53" s="60" customFormat="1" customHeight="1" spans="1:46">
      <c r="A53" s="65">
        <v>7246</v>
      </c>
      <c r="B53" s="71" t="s">
        <v>94</v>
      </c>
      <c r="C53" s="71" t="s">
        <v>422</v>
      </c>
      <c r="D53" s="69">
        <v>1</v>
      </c>
      <c r="E53" s="69">
        <v>7</v>
      </c>
      <c r="F53" s="69">
        <v>1</v>
      </c>
      <c r="G53" s="69">
        <v>200</v>
      </c>
      <c r="H53" s="66">
        <v>7245</v>
      </c>
      <c r="I53" s="69">
        <v>0</v>
      </c>
      <c r="J53" s="81">
        <v>63090</v>
      </c>
      <c r="K53" s="84" t="s">
        <v>399</v>
      </c>
      <c r="L53" s="83">
        <v>63090</v>
      </c>
      <c r="M53" s="84" t="s">
        <v>399</v>
      </c>
      <c r="N53" s="69"/>
      <c r="O53" s="79"/>
      <c r="P53" s="69"/>
      <c r="Q53" s="81">
        <v>15631</v>
      </c>
      <c r="R53" s="69"/>
      <c r="S53" s="69">
        <v>1</v>
      </c>
      <c r="T53" s="69">
        <v>0</v>
      </c>
      <c r="U53" s="69"/>
      <c r="V53" s="69"/>
      <c r="W53" s="69"/>
      <c r="X53" s="89">
        <v>11000</v>
      </c>
      <c r="Y53" s="95">
        <v>50</v>
      </c>
      <c r="Z53" s="95">
        <v>50</v>
      </c>
      <c r="AA53" s="95">
        <v>50</v>
      </c>
      <c r="AB53" s="69"/>
      <c r="AC53" s="69"/>
      <c r="AD53" s="73" t="s">
        <v>423</v>
      </c>
      <c r="AE53" s="70" t="s">
        <v>424</v>
      </c>
      <c r="AF53" s="70" t="s">
        <v>425</v>
      </c>
      <c r="AG53" s="71" t="s">
        <v>426</v>
      </c>
      <c r="AH53" s="66" t="s">
        <v>427</v>
      </c>
      <c r="AI53" s="69"/>
      <c r="AJ53" s="69"/>
      <c r="AK53" s="73" t="s">
        <v>428</v>
      </c>
      <c r="AL53" s="73" t="s">
        <v>429</v>
      </c>
      <c r="AM53" s="69"/>
      <c r="AN53" s="66">
        <v>1</v>
      </c>
      <c r="AO53" s="66">
        <v>0</v>
      </c>
      <c r="AP53" s="66">
        <v>1</v>
      </c>
      <c r="AQ53" s="66">
        <v>1</v>
      </c>
      <c r="AR53" s="69">
        <v>0</v>
      </c>
      <c r="AS53" s="66">
        <v>0</v>
      </c>
      <c r="AT53" s="73" t="s">
        <v>430</v>
      </c>
    </row>
    <row r="54" s="60" customFormat="1" customHeight="1" spans="1:46">
      <c r="A54" s="65">
        <v>7247</v>
      </c>
      <c r="B54" s="71" t="s">
        <v>64</v>
      </c>
      <c r="C54" s="70" t="s">
        <v>431</v>
      </c>
      <c r="D54" s="69">
        <v>1</v>
      </c>
      <c r="E54" s="69">
        <v>7</v>
      </c>
      <c r="F54" s="69">
        <v>1</v>
      </c>
      <c r="G54" s="69">
        <v>200</v>
      </c>
      <c r="H54" s="66">
        <v>7246</v>
      </c>
      <c r="I54" s="69">
        <v>0</v>
      </c>
      <c r="J54" s="81">
        <v>63090</v>
      </c>
      <c r="K54" s="84" t="s">
        <v>399</v>
      </c>
      <c r="L54" s="83">
        <v>63090</v>
      </c>
      <c r="M54" s="84" t="s">
        <v>399</v>
      </c>
      <c r="N54" s="69"/>
      <c r="O54" s="79"/>
      <c r="P54" s="69"/>
      <c r="Q54" s="81"/>
      <c r="R54" s="69"/>
      <c r="S54" s="69">
        <v>1</v>
      </c>
      <c r="T54" s="69">
        <v>1</v>
      </c>
      <c r="U54" s="69"/>
      <c r="V54" s="69"/>
      <c r="W54" s="69"/>
      <c r="X54" s="89">
        <v>2400</v>
      </c>
      <c r="Y54" s="95">
        <v>50</v>
      </c>
      <c r="Z54" s="95">
        <v>50</v>
      </c>
      <c r="AA54" s="95">
        <v>50</v>
      </c>
      <c r="AB54" s="69"/>
      <c r="AC54" s="69"/>
      <c r="AD54" s="73" t="s">
        <v>432</v>
      </c>
      <c r="AE54" s="70" t="s">
        <v>433</v>
      </c>
      <c r="AF54" s="70" t="s">
        <v>434</v>
      </c>
      <c r="AG54" s="71"/>
      <c r="AH54" s="66" t="s">
        <v>419</v>
      </c>
      <c r="AI54" s="69"/>
      <c r="AJ54" s="69"/>
      <c r="AK54" s="73" t="s">
        <v>435</v>
      </c>
      <c r="AL54" s="73" t="s">
        <v>436</v>
      </c>
      <c r="AM54" s="69"/>
      <c r="AN54" s="66">
        <v>1</v>
      </c>
      <c r="AO54" s="66">
        <v>0</v>
      </c>
      <c r="AP54" s="66">
        <v>1</v>
      </c>
      <c r="AQ54" s="66">
        <v>1</v>
      </c>
      <c r="AR54" s="69">
        <v>0</v>
      </c>
      <c r="AS54" s="66">
        <v>0</v>
      </c>
      <c r="AT54" s="97" t="str">
        <f t="shared" ref="AT54" si="11">"{s_taskTalk,{"&amp;J54&amp;","&amp;L54&amp;"}}"</f>
        <v>{s_taskTalk,{63090,63090}}</v>
      </c>
    </row>
    <row r="55" s="60" customFormat="1" customHeight="1" spans="1:46">
      <c r="A55" s="65">
        <v>7248</v>
      </c>
      <c r="B55" s="70" t="s">
        <v>437</v>
      </c>
      <c r="C55" s="70" t="s">
        <v>438</v>
      </c>
      <c r="D55" s="69">
        <v>1</v>
      </c>
      <c r="E55" s="69">
        <v>7</v>
      </c>
      <c r="F55" s="69">
        <v>1</v>
      </c>
      <c r="G55" s="69">
        <v>200</v>
      </c>
      <c r="H55" s="66">
        <v>7247</v>
      </c>
      <c r="I55" s="69">
        <v>0</v>
      </c>
      <c r="J55" s="81">
        <v>63090</v>
      </c>
      <c r="K55" s="84" t="s">
        <v>399</v>
      </c>
      <c r="L55" s="83">
        <v>63090</v>
      </c>
      <c r="M55" s="84" t="s">
        <v>399</v>
      </c>
      <c r="N55" s="69"/>
      <c r="O55" s="79"/>
      <c r="P55" s="69"/>
      <c r="Q55" s="81"/>
      <c r="R55" s="69"/>
      <c r="S55" s="69">
        <v>1</v>
      </c>
      <c r="T55" s="69">
        <v>0</v>
      </c>
      <c r="U55" s="69"/>
      <c r="V55" s="69"/>
      <c r="W55" s="69"/>
      <c r="X55" s="89">
        <v>2400</v>
      </c>
      <c r="Y55" s="95">
        <v>50</v>
      </c>
      <c r="Z55" s="95">
        <v>50</v>
      </c>
      <c r="AA55" s="95">
        <v>50</v>
      </c>
      <c r="AB55" s="69"/>
      <c r="AC55" s="69"/>
      <c r="AD55" s="73" t="s">
        <v>439</v>
      </c>
      <c r="AE55" s="70" t="s">
        <v>440</v>
      </c>
      <c r="AF55" s="70" t="s">
        <v>441</v>
      </c>
      <c r="AG55" s="70" t="s">
        <v>442</v>
      </c>
      <c r="AH55" s="66" t="s">
        <v>419</v>
      </c>
      <c r="AI55" s="69"/>
      <c r="AJ55" s="69"/>
      <c r="AK55" s="75" t="s">
        <v>443</v>
      </c>
      <c r="AL55" s="73" t="s">
        <v>444</v>
      </c>
      <c r="AM55" s="69"/>
      <c r="AN55" s="66">
        <v>1</v>
      </c>
      <c r="AO55" s="66">
        <v>0</v>
      </c>
      <c r="AP55" s="66">
        <v>1</v>
      </c>
      <c r="AQ55" s="66">
        <v>1</v>
      </c>
      <c r="AR55" s="69">
        <v>0</v>
      </c>
      <c r="AS55" s="66">
        <v>0</v>
      </c>
      <c r="AT55" s="97" t="str">
        <f t="shared" ref="AT55:AT57" si="12">"{s_taskTalk,{"&amp;J55&amp;","&amp;L55&amp;"}}"</f>
        <v>{s_taskTalk,{63090,63090}}</v>
      </c>
    </row>
    <row r="56" s="60" customFormat="1" customHeight="1" spans="1:46">
      <c r="A56" s="65">
        <v>7249</v>
      </c>
      <c r="B56" s="71" t="s">
        <v>64</v>
      </c>
      <c r="C56" s="70" t="s">
        <v>445</v>
      </c>
      <c r="D56" s="69">
        <v>1</v>
      </c>
      <c r="E56" s="69">
        <v>7</v>
      </c>
      <c r="F56" s="69">
        <v>1</v>
      </c>
      <c r="G56" s="69">
        <v>200</v>
      </c>
      <c r="H56" s="66">
        <v>7248</v>
      </c>
      <c r="I56" s="69">
        <v>0</v>
      </c>
      <c r="J56" s="81">
        <v>63090</v>
      </c>
      <c r="K56" s="84" t="s">
        <v>399</v>
      </c>
      <c r="L56" s="81">
        <v>63073</v>
      </c>
      <c r="M56" s="80" t="s">
        <v>446</v>
      </c>
      <c r="N56" s="69"/>
      <c r="O56" s="79"/>
      <c r="P56" s="69"/>
      <c r="Q56" s="81"/>
      <c r="R56" s="69"/>
      <c r="S56" s="69">
        <v>1</v>
      </c>
      <c r="T56" s="69">
        <v>1</v>
      </c>
      <c r="U56" s="69"/>
      <c r="V56" s="69"/>
      <c r="W56" s="69"/>
      <c r="X56" s="89">
        <v>2400</v>
      </c>
      <c r="Y56" s="95">
        <v>50</v>
      </c>
      <c r="Z56" s="95">
        <v>50</v>
      </c>
      <c r="AA56" s="95">
        <v>50</v>
      </c>
      <c r="AB56" s="69"/>
      <c r="AC56" s="69"/>
      <c r="AD56" s="73" t="s">
        <v>447</v>
      </c>
      <c r="AE56" s="70" t="s">
        <v>448</v>
      </c>
      <c r="AF56" s="70" t="s">
        <v>449</v>
      </c>
      <c r="AG56" s="71"/>
      <c r="AH56" s="66" t="s">
        <v>450</v>
      </c>
      <c r="AI56" s="69"/>
      <c r="AJ56" s="69"/>
      <c r="AK56" s="73" t="s">
        <v>451</v>
      </c>
      <c r="AL56" s="73" t="s">
        <v>452</v>
      </c>
      <c r="AM56" s="69"/>
      <c r="AN56" s="66">
        <v>1</v>
      </c>
      <c r="AO56" s="66">
        <v>0</v>
      </c>
      <c r="AP56" s="66">
        <v>1</v>
      </c>
      <c r="AQ56" s="66">
        <v>1</v>
      </c>
      <c r="AR56" s="69">
        <v>0</v>
      </c>
      <c r="AS56" s="66">
        <v>0</v>
      </c>
      <c r="AT56" s="97" t="str">
        <f t="shared" si="12"/>
        <v>{s_taskTalk,{63090,63073}}</v>
      </c>
    </row>
    <row r="57" s="60" customFormat="1" customHeight="1" spans="1:46">
      <c r="A57" s="69">
        <v>7073</v>
      </c>
      <c r="B57" s="73" t="s">
        <v>64</v>
      </c>
      <c r="C57" s="73" t="s">
        <v>453</v>
      </c>
      <c r="D57" s="69">
        <v>1</v>
      </c>
      <c r="E57" s="69">
        <v>5</v>
      </c>
      <c r="F57" s="69">
        <v>1</v>
      </c>
      <c r="G57" s="69">
        <v>200</v>
      </c>
      <c r="H57" s="69">
        <v>7041</v>
      </c>
      <c r="I57" s="69">
        <v>0</v>
      </c>
      <c r="J57" s="81">
        <v>63073</v>
      </c>
      <c r="K57" s="80" t="s">
        <v>446</v>
      </c>
      <c r="L57" s="81">
        <v>63074</v>
      </c>
      <c r="M57" s="80" t="s">
        <v>453</v>
      </c>
      <c r="N57" s="69"/>
      <c r="O57" s="79"/>
      <c r="P57" s="69"/>
      <c r="Q57" s="81"/>
      <c r="R57" s="69"/>
      <c r="S57" s="69">
        <v>1</v>
      </c>
      <c r="T57" s="69">
        <v>1</v>
      </c>
      <c r="U57" s="69"/>
      <c r="V57" s="69"/>
      <c r="W57" s="69"/>
      <c r="X57" s="89">
        <v>6000</v>
      </c>
      <c r="Y57" s="69"/>
      <c r="Z57" s="69"/>
      <c r="AA57" s="95">
        <v>50</v>
      </c>
      <c r="AB57" s="69"/>
      <c r="AC57" s="69"/>
      <c r="AD57" s="73" t="s">
        <v>454</v>
      </c>
      <c r="AE57" s="66" t="s">
        <v>455</v>
      </c>
      <c r="AF57" s="66" t="s">
        <v>456</v>
      </c>
      <c r="AG57" s="69"/>
      <c r="AH57" s="66" t="s">
        <v>457</v>
      </c>
      <c r="AI57" s="69"/>
      <c r="AJ57" s="69"/>
      <c r="AK57" s="73" t="s">
        <v>458</v>
      </c>
      <c r="AL57" s="73" t="s">
        <v>459</v>
      </c>
      <c r="AM57" s="69"/>
      <c r="AN57" s="66">
        <v>1</v>
      </c>
      <c r="AO57" s="66">
        <v>0</v>
      </c>
      <c r="AP57" s="66">
        <v>1</v>
      </c>
      <c r="AQ57" s="66">
        <v>1</v>
      </c>
      <c r="AR57" s="69"/>
      <c r="AS57" s="66">
        <v>0</v>
      </c>
      <c r="AT57" s="97" t="str">
        <f t="shared" si="12"/>
        <v>{s_taskTalk,{63073,63074}}</v>
      </c>
    </row>
    <row r="58" s="60" customFormat="1" customHeight="1" spans="1:46">
      <c r="A58" s="69">
        <v>7099</v>
      </c>
      <c r="B58" s="73" t="s">
        <v>94</v>
      </c>
      <c r="C58" s="73" t="s">
        <v>460</v>
      </c>
      <c r="D58" s="69">
        <v>1</v>
      </c>
      <c r="E58" s="69">
        <v>5</v>
      </c>
      <c r="F58" s="69">
        <v>1</v>
      </c>
      <c r="G58" s="69">
        <v>200</v>
      </c>
      <c r="H58" s="69">
        <v>7073</v>
      </c>
      <c r="I58" s="69">
        <v>0</v>
      </c>
      <c r="J58" s="81">
        <v>63074</v>
      </c>
      <c r="K58" s="80" t="s">
        <v>453</v>
      </c>
      <c r="L58" s="81">
        <v>63074</v>
      </c>
      <c r="M58" s="80" t="s">
        <v>453</v>
      </c>
      <c r="N58" s="69"/>
      <c r="O58" s="79"/>
      <c r="P58" s="69"/>
      <c r="Q58" s="81">
        <v>15612</v>
      </c>
      <c r="R58" s="69"/>
      <c r="S58" s="69">
        <v>8</v>
      </c>
      <c r="T58" s="69">
        <v>0</v>
      </c>
      <c r="U58" s="69"/>
      <c r="V58" s="69"/>
      <c r="W58" s="69"/>
      <c r="X58" s="89">
        <v>10000</v>
      </c>
      <c r="Y58" s="69"/>
      <c r="Z58" s="69"/>
      <c r="AA58" s="95">
        <v>50</v>
      </c>
      <c r="AB58" s="69"/>
      <c r="AC58" s="69"/>
      <c r="AD58" s="73" t="s">
        <v>461</v>
      </c>
      <c r="AE58" s="66" t="s">
        <v>462</v>
      </c>
      <c r="AF58" s="66" t="s">
        <v>463</v>
      </c>
      <c r="AG58" s="69"/>
      <c r="AH58" s="66" t="s">
        <v>464</v>
      </c>
      <c r="AI58" s="69"/>
      <c r="AJ58" s="69"/>
      <c r="AK58" s="73" t="s">
        <v>465</v>
      </c>
      <c r="AL58" s="73" t="s">
        <v>466</v>
      </c>
      <c r="AM58" s="69"/>
      <c r="AN58" s="66">
        <v>1</v>
      </c>
      <c r="AO58" s="66">
        <v>0</v>
      </c>
      <c r="AP58" s="66">
        <v>1</v>
      </c>
      <c r="AQ58" s="66">
        <v>1</v>
      </c>
      <c r="AR58" s="69"/>
      <c r="AS58" s="66">
        <v>0</v>
      </c>
      <c r="AT58" s="73" t="s">
        <v>467</v>
      </c>
    </row>
    <row r="59" s="60" customFormat="1" customHeight="1" spans="1:46">
      <c r="A59" s="69">
        <v>7098</v>
      </c>
      <c r="B59" s="73" t="s">
        <v>94</v>
      </c>
      <c r="C59" s="73" t="s">
        <v>468</v>
      </c>
      <c r="D59" s="69">
        <v>1</v>
      </c>
      <c r="E59" s="69">
        <v>5</v>
      </c>
      <c r="F59" s="69">
        <v>1</v>
      </c>
      <c r="G59" s="69">
        <v>200</v>
      </c>
      <c r="H59" s="69">
        <v>7099</v>
      </c>
      <c r="I59" s="69">
        <v>0</v>
      </c>
      <c r="J59" s="81">
        <v>63074</v>
      </c>
      <c r="K59" s="80" t="s">
        <v>453</v>
      </c>
      <c r="L59" s="81">
        <v>63074</v>
      </c>
      <c r="M59" s="80" t="s">
        <v>453</v>
      </c>
      <c r="N59" s="69"/>
      <c r="O59" s="79"/>
      <c r="P59" s="69"/>
      <c r="Q59" s="81">
        <v>15613</v>
      </c>
      <c r="R59" s="69"/>
      <c r="S59" s="69">
        <v>8</v>
      </c>
      <c r="T59" s="69">
        <v>0</v>
      </c>
      <c r="U59" s="69"/>
      <c r="V59" s="69"/>
      <c r="W59" s="69"/>
      <c r="X59" s="89">
        <v>15000</v>
      </c>
      <c r="Y59" s="69"/>
      <c r="Z59" s="69"/>
      <c r="AA59" s="95">
        <v>50</v>
      </c>
      <c r="AB59" s="69"/>
      <c r="AC59" s="69"/>
      <c r="AD59" s="73" t="s">
        <v>469</v>
      </c>
      <c r="AE59" s="66" t="s">
        <v>470</v>
      </c>
      <c r="AF59" s="66" t="s">
        <v>471</v>
      </c>
      <c r="AG59" s="69"/>
      <c r="AH59" s="66" t="s">
        <v>472</v>
      </c>
      <c r="AI59" s="69"/>
      <c r="AJ59" s="69"/>
      <c r="AK59" s="73" t="s">
        <v>473</v>
      </c>
      <c r="AL59" s="73" t="s">
        <v>474</v>
      </c>
      <c r="AM59" s="69"/>
      <c r="AN59" s="66">
        <v>1</v>
      </c>
      <c r="AO59" s="66">
        <v>0</v>
      </c>
      <c r="AP59" s="66">
        <v>1</v>
      </c>
      <c r="AQ59" s="66">
        <v>1</v>
      </c>
      <c r="AR59" s="69"/>
      <c r="AS59" s="66">
        <v>0</v>
      </c>
      <c r="AT59" s="73" t="s">
        <v>475</v>
      </c>
    </row>
    <row r="60" s="60" customFormat="1" customHeight="1" spans="1:46">
      <c r="A60" s="69">
        <v>7074</v>
      </c>
      <c r="B60" s="73" t="s">
        <v>64</v>
      </c>
      <c r="C60" s="73" t="s">
        <v>476</v>
      </c>
      <c r="D60" s="69">
        <v>1</v>
      </c>
      <c r="E60" s="69">
        <v>5</v>
      </c>
      <c r="F60" s="69">
        <v>1</v>
      </c>
      <c r="G60" s="69">
        <v>200</v>
      </c>
      <c r="H60" s="69">
        <v>7098</v>
      </c>
      <c r="I60" s="69">
        <v>0</v>
      </c>
      <c r="J60" s="81">
        <v>63074</v>
      </c>
      <c r="K60" s="80" t="s">
        <v>453</v>
      </c>
      <c r="L60" s="81">
        <v>63075</v>
      </c>
      <c r="M60" s="80" t="s">
        <v>477</v>
      </c>
      <c r="N60" s="69"/>
      <c r="O60" s="79"/>
      <c r="P60" s="69"/>
      <c r="Q60" s="81"/>
      <c r="R60" s="69"/>
      <c r="S60" s="69">
        <v>1</v>
      </c>
      <c r="T60" s="69">
        <v>1</v>
      </c>
      <c r="U60" s="69"/>
      <c r="V60" s="69"/>
      <c r="W60" s="69"/>
      <c r="X60" s="89">
        <v>6000</v>
      </c>
      <c r="Y60" s="69"/>
      <c r="Z60" s="69"/>
      <c r="AA60" s="95">
        <v>50</v>
      </c>
      <c r="AB60" s="69"/>
      <c r="AC60" s="69"/>
      <c r="AD60" s="73" t="s">
        <v>478</v>
      </c>
      <c r="AE60" s="66" t="s">
        <v>479</v>
      </c>
      <c r="AF60" s="66" t="s">
        <v>480</v>
      </c>
      <c r="AG60" s="69"/>
      <c r="AH60" s="66" t="s">
        <v>481</v>
      </c>
      <c r="AI60" s="69"/>
      <c r="AJ60" s="69"/>
      <c r="AK60" s="73" t="s">
        <v>482</v>
      </c>
      <c r="AL60" s="73" t="s">
        <v>483</v>
      </c>
      <c r="AM60" s="69"/>
      <c r="AN60" s="66">
        <v>1</v>
      </c>
      <c r="AO60" s="66">
        <v>0</v>
      </c>
      <c r="AP60" s="66">
        <v>1</v>
      </c>
      <c r="AQ60" s="66">
        <v>1</v>
      </c>
      <c r="AR60" s="69"/>
      <c r="AS60" s="66">
        <v>0</v>
      </c>
      <c r="AT60" s="97" t="str">
        <f t="shared" ref="AT60:AT63" si="13">"{s_taskTalk,{"&amp;J60&amp;","&amp;L60&amp;"}}"</f>
        <v>{s_taskTalk,{63074,63075}}</v>
      </c>
    </row>
    <row r="61" s="60" customFormat="1" customHeight="1" spans="1:46">
      <c r="A61" s="69">
        <v>7075</v>
      </c>
      <c r="B61" s="73" t="s">
        <v>64</v>
      </c>
      <c r="C61" s="73" t="s">
        <v>484</v>
      </c>
      <c r="D61" s="69">
        <v>1</v>
      </c>
      <c r="E61" s="69">
        <v>5</v>
      </c>
      <c r="F61" s="69">
        <v>1</v>
      </c>
      <c r="G61" s="69">
        <v>200</v>
      </c>
      <c r="H61" s="69">
        <v>7074</v>
      </c>
      <c r="I61" s="69">
        <v>0</v>
      </c>
      <c r="J61" s="81">
        <v>63075</v>
      </c>
      <c r="K61" s="80" t="s">
        <v>477</v>
      </c>
      <c r="L61" s="81">
        <v>63075</v>
      </c>
      <c r="M61" s="80" t="s">
        <v>477</v>
      </c>
      <c r="N61" s="69"/>
      <c r="O61" s="79"/>
      <c r="P61" s="69"/>
      <c r="Q61" s="81"/>
      <c r="R61" s="69"/>
      <c r="S61" s="69">
        <v>1</v>
      </c>
      <c r="T61" s="69">
        <v>1</v>
      </c>
      <c r="U61" s="69"/>
      <c r="V61" s="69"/>
      <c r="W61" s="69"/>
      <c r="X61" s="89">
        <v>6000</v>
      </c>
      <c r="Y61" s="69"/>
      <c r="Z61" s="69"/>
      <c r="AA61" s="95">
        <v>50</v>
      </c>
      <c r="AB61" s="69"/>
      <c r="AC61" s="69"/>
      <c r="AD61" s="73" t="s">
        <v>485</v>
      </c>
      <c r="AE61" s="66" t="s">
        <v>486</v>
      </c>
      <c r="AF61" s="66" t="s">
        <v>487</v>
      </c>
      <c r="AG61" s="69"/>
      <c r="AH61" s="66" t="s">
        <v>481</v>
      </c>
      <c r="AI61" s="69"/>
      <c r="AJ61" s="69"/>
      <c r="AK61" s="73" t="s">
        <v>488</v>
      </c>
      <c r="AL61" s="73" t="s">
        <v>489</v>
      </c>
      <c r="AM61" s="69"/>
      <c r="AN61" s="66">
        <v>1</v>
      </c>
      <c r="AO61" s="66">
        <v>0</v>
      </c>
      <c r="AP61" s="66">
        <v>1</v>
      </c>
      <c r="AQ61" s="66">
        <v>1</v>
      </c>
      <c r="AR61" s="69"/>
      <c r="AS61" s="66">
        <v>0</v>
      </c>
      <c r="AT61" s="97" t="str">
        <f t="shared" si="13"/>
        <v>{s_taskTalk,{63075,63075}}</v>
      </c>
    </row>
    <row r="62" s="60" customFormat="1" customHeight="1" spans="1:46">
      <c r="A62" s="69">
        <v>7097</v>
      </c>
      <c r="B62" s="73" t="s">
        <v>94</v>
      </c>
      <c r="C62" s="73" t="s">
        <v>490</v>
      </c>
      <c r="D62" s="69">
        <v>1</v>
      </c>
      <c r="E62" s="69">
        <v>5</v>
      </c>
      <c r="F62" s="69">
        <v>1</v>
      </c>
      <c r="G62" s="69">
        <v>200</v>
      </c>
      <c r="H62" s="69">
        <v>7075</v>
      </c>
      <c r="I62" s="69">
        <v>0</v>
      </c>
      <c r="J62" s="81">
        <v>63075</v>
      </c>
      <c r="K62" s="80" t="s">
        <v>477</v>
      </c>
      <c r="L62" s="81">
        <v>63075</v>
      </c>
      <c r="M62" s="80" t="s">
        <v>477</v>
      </c>
      <c r="N62" s="69"/>
      <c r="O62" s="79"/>
      <c r="P62" s="69"/>
      <c r="Q62" s="81">
        <v>15614</v>
      </c>
      <c r="R62" s="69"/>
      <c r="S62" s="69">
        <v>8</v>
      </c>
      <c r="T62" s="69">
        <v>0</v>
      </c>
      <c r="U62" s="69"/>
      <c r="V62" s="69"/>
      <c r="W62" s="69"/>
      <c r="X62" s="89">
        <v>15000</v>
      </c>
      <c r="Y62" s="69"/>
      <c r="Z62" s="69"/>
      <c r="AA62" s="95">
        <v>50</v>
      </c>
      <c r="AB62" s="69"/>
      <c r="AC62" s="69"/>
      <c r="AD62" s="73" t="s">
        <v>491</v>
      </c>
      <c r="AE62" s="66" t="s">
        <v>492</v>
      </c>
      <c r="AF62" s="66" t="s">
        <v>493</v>
      </c>
      <c r="AG62" s="69"/>
      <c r="AH62" s="66" t="s">
        <v>494</v>
      </c>
      <c r="AI62" s="69"/>
      <c r="AJ62" s="69"/>
      <c r="AK62" s="73" t="s">
        <v>495</v>
      </c>
      <c r="AL62" s="73" t="s">
        <v>496</v>
      </c>
      <c r="AM62" s="69"/>
      <c r="AN62" s="66">
        <v>1</v>
      </c>
      <c r="AO62" s="66">
        <v>0</v>
      </c>
      <c r="AP62" s="66">
        <v>1</v>
      </c>
      <c r="AQ62" s="66">
        <v>1</v>
      </c>
      <c r="AR62" s="69"/>
      <c r="AS62" s="66">
        <v>0</v>
      </c>
      <c r="AT62" s="73" t="s">
        <v>497</v>
      </c>
    </row>
    <row r="63" s="60" customFormat="1" customHeight="1" spans="1:46">
      <c r="A63" s="69">
        <v>7096</v>
      </c>
      <c r="B63" s="73"/>
      <c r="C63" s="73" t="s">
        <v>498</v>
      </c>
      <c r="D63" s="69">
        <v>1</v>
      </c>
      <c r="E63" s="69">
        <v>5</v>
      </c>
      <c r="F63" s="69">
        <v>1</v>
      </c>
      <c r="G63" s="69">
        <v>200</v>
      </c>
      <c r="H63" s="69">
        <v>7097</v>
      </c>
      <c r="I63" s="69">
        <v>0</v>
      </c>
      <c r="J63" s="81">
        <v>63075</v>
      </c>
      <c r="K63" s="80" t="s">
        <v>477</v>
      </c>
      <c r="L63" s="81">
        <v>63056</v>
      </c>
      <c r="M63" s="85" t="s">
        <v>499</v>
      </c>
      <c r="N63" s="69"/>
      <c r="O63" s="79"/>
      <c r="P63" s="69"/>
      <c r="Q63" s="81"/>
      <c r="R63" s="69"/>
      <c r="S63" s="69">
        <v>1</v>
      </c>
      <c r="T63" s="69">
        <v>1</v>
      </c>
      <c r="U63" s="69"/>
      <c r="V63" s="69"/>
      <c r="W63" s="69"/>
      <c r="X63" s="89">
        <v>6000</v>
      </c>
      <c r="Y63" s="69"/>
      <c r="Z63" s="69"/>
      <c r="AA63" s="95">
        <v>50</v>
      </c>
      <c r="AB63" s="69"/>
      <c r="AC63" s="69"/>
      <c r="AD63" s="73" t="s">
        <v>500</v>
      </c>
      <c r="AE63" s="66" t="s">
        <v>501</v>
      </c>
      <c r="AF63" s="66" t="s">
        <v>502</v>
      </c>
      <c r="AG63" s="69"/>
      <c r="AH63" s="66" t="s">
        <v>503</v>
      </c>
      <c r="AI63" s="69"/>
      <c r="AJ63" s="69"/>
      <c r="AK63" s="73" t="s">
        <v>504</v>
      </c>
      <c r="AL63" s="73" t="s">
        <v>505</v>
      </c>
      <c r="AM63" s="69"/>
      <c r="AN63" s="66">
        <v>1</v>
      </c>
      <c r="AO63" s="66">
        <v>0</v>
      </c>
      <c r="AP63" s="66">
        <v>1</v>
      </c>
      <c r="AQ63" s="66">
        <v>1</v>
      </c>
      <c r="AR63" s="69"/>
      <c r="AS63" s="66">
        <v>0</v>
      </c>
      <c r="AT63" s="97" t="str">
        <f t="shared" si="13"/>
        <v>{s_taskTalk,{63075,63056}}</v>
      </c>
    </row>
    <row r="64" s="60" customFormat="1" customHeight="1" spans="1:46">
      <c r="A64" s="69">
        <v>7042</v>
      </c>
      <c r="B64" s="69"/>
      <c r="C64" s="73" t="s">
        <v>499</v>
      </c>
      <c r="D64" s="69">
        <v>1</v>
      </c>
      <c r="E64" s="69">
        <v>6</v>
      </c>
      <c r="F64" s="69">
        <v>1</v>
      </c>
      <c r="G64" s="69">
        <v>200</v>
      </c>
      <c r="H64" s="69">
        <v>7096</v>
      </c>
      <c r="I64" s="69">
        <v>0</v>
      </c>
      <c r="J64" s="81">
        <v>63056</v>
      </c>
      <c r="K64" s="85" t="s">
        <v>499</v>
      </c>
      <c r="L64" s="81">
        <v>63056</v>
      </c>
      <c r="M64" s="85" t="s">
        <v>499</v>
      </c>
      <c r="N64" s="69"/>
      <c r="O64" s="69"/>
      <c r="P64" s="69"/>
      <c r="Q64" s="81">
        <v>15595</v>
      </c>
      <c r="R64" s="69"/>
      <c r="S64" s="69">
        <v>8</v>
      </c>
      <c r="T64" s="69">
        <v>0</v>
      </c>
      <c r="U64" s="69"/>
      <c r="V64" s="69"/>
      <c r="W64" s="69"/>
      <c r="X64" s="89">
        <v>20000</v>
      </c>
      <c r="Y64" s="69"/>
      <c r="Z64" s="69"/>
      <c r="AA64" s="95">
        <v>50</v>
      </c>
      <c r="AB64" s="69"/>
      <c r="AC64" s="69"/>
      <c r="AD64" s="73" t="s">
        <v>506</v>
      </c>
      <c r="AE64" s="73" t="s">
        <v>507</v>
      </c>
      <c r="AF64" s="73" t="s">
        <v>508</v>
      </c>
      <c r="AG64" s="69"/>
      <c r="AH64" s="73" t="s">
        <v>509</v>
      </c>
      <c r="AI64" s="69"/>
      <c r="AJ64" s="69"/>
      <c r="AK64" s="73" t="s">
        <v>510</v>
      </c>
      <c r="AL64" s="73" t="s">
        <v>511</v>
      </c>
      <c r="AM64" s="69"/>
      <c r="AN64" s="69">
        <v>1</v>
      </c>
      <c r="AO64" s="69">
        <v>0</v>
      </c>
      <c r="AP64" s="69">
        <v>1</v>
      </c>
      <c r="AQ64" s="69">
        <v>1</v>
      </c>
      <c r="AR64" s="69">
        <v>0</v>
      </c>
      <c r="AS64" s="69">
        <v>0</v>
      </c>
      <c r="AT64" s="73" t="s">
        <v>512</v>
      </c>
    </row>
    <row r="65" s="60" customFormat="1" customHeight="1" spans="1:46">
      <c r="A65" s="69">
        <v>7043</v>
      </c>
      <c r="B65" s="69"/>
      <c r="C65" s="73" t="s">
        <v>513</v>
      </c>
      <c r="D65" s="69">
        <v>1</v>
      </c>
      <c r="E65" s="69">
        <v>6</v>
      </c>
      <c r="F65" s="69">
        <v>1</v>
      </c>
      <c r="G65" s="69">
        <v>200</v>
      </c>
      <c r="H65" s="69">
        <v>7042</v>
      </c>
      <c r="I65" s="69">
        <v>0</v>
      </c>
      <c r="J65" s="81">
        <v>63056</v>
      </c>
      <c r="K65" s="85" t="s">
        <v>499</v>
      </c>
      <c r="L65" s="81">
        <v>63056</v>
      </c>
      <c r="M65" s="85" t="s">
        <v>499</v>
      </c>
      <c r="N65" s="69"/>
      <c r="O65" s="69"/>
      <c r="P65" s="69"/>
      <c r="Q65" s="81">
        <v>15596</v>
      </c>
      <c r="R65" s="69"/>
      <c r="S65" s="69">
        <v>8</v>
      </c>
      <c r="T65" s="69">
        <v>0</v>
      </c>
      <c r="U65" s="69"/>
      <c r="V65" s="69"/>
      <c r="W65" s="69"/>
      <c r="X65" s="89">
        <v>22000</v>
      </c>
      <c r="Y65" s="69"/>
      <c r="Z65" s="69"/>
      <c r="AA65" s="95">
        <v>50</v>
      </c>
      <c r="AB65" s="69"/>
      <c r="AC65" s="69"/>
      <c r="AD65" s="73" t="s">
        <v>514</v>
      </c>
      <c r="AE65" s="73" t="s">
        <v>515</v>
      </c>
      <c r="AF65" s="69" t="s">
        <v>516</v>
      </c>
      <c r="AG65" s="69"/>
      <c r="AH65" s="73" t="s">
        <v>517</v>
      </c>
      <c r="AI65" s="69"/>
      <c r="AJ65" s="69"/>
      <c r="AK65" s="73" t="s">
        <v>518</v>
      </c>
      <c r="AL65" s="73" t="s">
        <v>519</v>
      </c>
      <c r="AM65" s="69"/>
      <c r="AN65" s="69">
        <v>1</v>
      </c>
      <c r="AO65" s="69">
        <v>0</v>
      </c>
      <c r="AP65" s="69">
        <v>1</v>
      </c>
      <c r="AQ65" s="69">
        <v>1</v>
      </c>
      <c r="AR65" s="69">
        <v>0</v>
      </c>
      <c r="AS65" s="69">
        <v>0</v>
      </c>
      <c r="AT65" s="73" t="s">
        <v>520</v>
      </c>
    </row>
    <row r="66" s="61" customFormat="1" customHeight="1" spans="1:46">
      <c r="A66" s="69">
        <v>7044</v>
      </c>
      <c r="B66" s="69"/>
      <c r="C66" s="73" t="s">
        <v>521</v>
      </c>
      <c r="D66" s="69">
        <v>1</v>
      </c>
      <c r="E66" s="69">
        <v>6</v>
      </c>
      <c r="F66" s="69">
        <v>1</v>
      </c>
      <c r="G66" s="69">
        <v>200</v>
      </c>
      <c r="H66" s="69">
        <v>7043</v>
      </c>
      <c r="I66" s="69">
        <v>0</v>
      </c>
      <c r="J66" s="81">
        <v>63056</v>
      </c>
      <c r="K66" s="85" t="s">
        <v>499</v>
      </c>
      <c r="L66" s="81">
        <v>63055</v>
      </c>
      <c r="M66" s="71" t="s">
        <v>521</v>
      </c>
      <c r="N66" s="69"/>
      <c r="O66" s="69"/>
      <c r="P66" s="69"/>
      <c r="Q66" s="69"/>
      <c r="R66" s="69"/>
      <c r="S66" s="69">
        <v>1</v>
      </c>
      <c r="T66" s="69">
        <v>1</v>
      </c>
      <c r="U66" s="69"/>
      <c r="V66" s="69"/>
      <c r="W66" s="69"/>
      <c r="X66" s="89">
        <v>8000</v>
      </c>
      <c r="Y66" s="69"/>
      <c r="Z66" s="69"/>
      <c r="AA66" s="95">
        <v>50</v>
      </c>
      <c r="AB66" s="69"/>
      <c r="AC66" s="69"/>
      <c r="AD66" s="73" t="s">
        <v>522</v>
      </c>
      <c r="AE66" s="73" t="s">
        <v>523</v>
      </c>
      <c r="AF66" s="73" t="s">
        <v>524</v>
      </c>
      <c r="AG66" s="73"/>
      <c r="AH66" s="73" t="s">
        <v>525</v>
      </c>
      <c r="AI66" s="69"/>
      <c r="AJ66" s="69"/>
      <c r="AK66" s="73" t="s">
        <v>526</v>
      </c>
      <c r="AL66" s="73" t="s">
        <v>527</v>
      </c>
      <c r="AM66" s="69"/>
      <c r="AN66" s="69">
        <v>1</v>
      </c>
      <c r="AO66" s="69">
        <v>0</v>
      </c>
      <c r="AP66" s="69">
        <v>1</v>
      </c>
      <c r="AQ66" s="69">
        <v>1</v>
      </c>
      <c r="AR66" s="69">
        <v>0</v>
      </c>
      <c r="AS66" s="69">
        <v>0</v>
      </c>
      <c r="AT66" s="69" t="str">
        <f t="shared" ref="AT66:AT95" si="14">"{s_taskTalk,{"&amp;J66&amp;","&amp;L66&amp;"}}"</f>
        <v>{s_taskTalk,{63056,63055}}</v>
      </c>
    </row>
    <row r="67" s="60" customFormat="1" customHeight="1" spans="1:46">
      <c r="A67" s="69">
        <v>7045</v>
      </c>
      <c r="B67" s="69"/>
      <c r="C67" s="73" t="s">
        <v>528</v>
      </c>
      <c r="D67" s="69">
        <v>1</v>
      </c>
      <c r="E67" s="69">
        <v>6</v>
      </c>
      <c r="F67" s="69">
        <v>1</v>
      </c>
      <c r="G67" s="69">
        <v>200</v>
      </c>
      <c r="H67" s="69">
        <v>7044</v>
      </c>
      <c r="I67" s="69">
        <v>0</v>
      </c>
      <c r="J67" s="69">
        <v>63055</v>
      </c>
      <c r="K67" s="73" t="s">
        <v>521</v>
      </c>
      <c r="L67" s="69">
        <v>63055</v>
      </c>
      <c r="M67" s="73" t="s">
        <v>521</v>
      </c>
      <c r="N67" s="69"/>
      <c r="O67" s="69"/>
      <c r="P67" s="69"/>
      <c r="Q67" s="81">
        <v>15597</v>
      </c>
      <c r="R67" s="69"/>
      <c r="S67" s="69">
        <v>1</v>
      </c>
      <c r="T67" s="69">
        <v>0</v>
      </c>
      <c r="U67" s="69"/>
      <c r="V67" s="69"/>
      <c r="W67" s="69"/>
      <c r="X67" s="89">
        <v>30000</v>
      </c>
      <c r="Y67" s="69"/>
      <c r="Z67" s="69"/>
      <c r="AA67" s="95">
        <v>50</v>
      </c>
      <c r="AB67" s="69"/>
      <c r="AC67" s="69"/>
      <c r="AD67" s="66" t="s">
        <v>529</v>
      </c>
      <c r="AE67" s="73" t="s">
        <v>530</v>
      </c>
      <c r="AF67" s="73" t="s">
        <v>531</v>
      </c>
      <c r="AG67" s="69"/>
      <c r="AH67" s="66" t="s">
        <v>532</v>
      </c>
      <c r="AI67" s="66"/>
      <c r="AJ67" s="66">
        <v>0</v>
      </c>
      <c r="AK67" s="75" t="s">
        <v>533</v>
      </c>
      <c r="AL67" s="73" t="s">
        <v>534</v>
      </c>
      <c r="AM67" s="66" t="s">
        <v>535</v>
      </c>
      <c r="AN67" s="69">
        <v>1</v>
      </c>
      <c r="AO67" s="69">
        <v>0</v>
      </c>
      <c r="AP67" s="69">
        <v>1</v>
      </c>
      <c r="AQ67" s="69">
        <v>1</v>
      </c>
      <c r="AR67" s="69">
        <v>0</v>
      </c>
      <c r="AS67" s="69">
        <v>0</v>
      </c>
      <c r="AT67" s="97" t="str">
        <f t="shared" si="14"/>
        <v>{s_taskTalk,{63055,63055}}</v>
      </c>
    </row>
    <row r="68" s="60" customFormat="1" customHeight="1" spans="1:46">
      <c r="A68" s="69">
        <v>7046</v>
      </c>
      <c r="B68" s="73" t="s">
        <v>536</v>
      </c>
      <c r="C68" s="73" t="s">
        <v>537</v>
      </c>
      <c r="D68" s="69">
        <v>1</v>
      </c>
      <c r="E68" s="69">
        <v>6</v>
      </c>
      <c r="F68" s="69">
        <v>1</v>
      </c>
      <c r="G68" s="69">
        <v>200</v>
      </c>
      <c r="H68" s="69">
        <v>7045</v>
      </c>
      <c r="I68" s="69">
        <v>0</v>
      </c>
      <c r="J68" s="69">
        <v>63055</v>
      </c>
      <c r="K68" s="73" t="s">
        <v>521</v>
      </c>
      <c r="L68" s="81">
        <v>63074</v>
      </c>
      <c r="M68" s="80" t="s">
        <v>453</v>
      </c>
      <c r="N68" s="69"/>
      <c r="O68" s="69"/>
      <c r="P68" s="69"/>
      <c r="Q68" s="69"/>
      <c r="R68" s="69"/>
      <c r="S68" s="69">
        <v>1</v>
      </c>
      <c r="T68" s="69">
        <v>1</v>
      </c>
      <c r="U68" s="69"/>
      <c r="V68" s="69"/>
      <c r="W68" s="69"/>
      <c r="X68" s="89">
        <v>8000</v>
      </c>
      <c r="Y68" s="69"/>
      <c r="Z68" s="69"/>
      <c r="AA68" s="95">
        <v>50</v>
      </c>
      <c r="AB68" s="69"/>
      <c r="AC68" s="66" t="s">
        <v>538</v>
      </c>
      <c r="AD68" s="73" t="s">
        <v>539</v>
      </c>
      <c r="AE68" s="73" t="s">
        <v>540</v>
      </c>
      <c r="AF68" s="69" t="s">
        <v>541</v>
      </c>
      <c r="AG68" s="69"/>
      <c r="AH68" s="73" t="s">
        <v>542</v>
      </c>
      <c r="AI68" s="69"/>
      <c r="AJ68" s="69"/>
      <c r="AK68" s="73" t="s">
        <v>543</v>
      </c>
      <c r="AL68" s="73" t="s">
        <v>543</v>
      </c>
      <c r="AM68" s="69"/>
      <c r="AN68" s="69">
        <v>1</v>
      </c>
      <c r="AO68" s="69">
        <v>0</v>
      </c>
      <c r="AP68" s="69">
        <v>1</v>
      </c>
      <c r="AQ68" s="69">
        <v>1</v>
      </c>
      <c r="AR68" s="69">
        <v>0</v>
      </c>
      <c r="AS68" s="69">
        <v>0</v>
      </c>
      <c r="AT68" s="69" t="str">
        <f t="shared" si="14"/>
        <v>{s_taskTalk,{63055,63074}}</v>
      </c>
    </row>
    <row r="69" s="60" customFormat="1" customHeight="1" spans="1:46">
      <c r="A69" s="69">
        <v>7095</v>
      </c>
      <c r="B69" s="73" t="s">
        <v>536</v>
      </c>
      <c r="C69" s="73" t="s">
        <v>544</v>
      </c>
      <c r="D69" s="69">
        <v>1</v>
      </c>
      <c r="E69" s="69">
        <v>6</v>
      </c>
      <c r="F69" s="69">
        <v>1</v>
      </c>
      <c r="G69" s="69">
        <v>200</v>
      </c>
      <c r="H69" s="69">
        <v>7046</v>
      </c>
      <c r="I69" s="69">
        <v>0</v>
      </c>
      <c r="J69" s="81">
        <v>63074</v>
      </c>
      <c r="K69" s="80" t="s">
        <v>453</v>
      </c>
      <c r="L69" s="79">
        <v>63061</v>
      </c>
      <c r="M69" s="85" t="s">
        <v>545</v>
      </c>
      <c r="N69" s="69"/>
      <c r="O69" s="69"/>
      <c r="P69" s="69"/>
      <c r="Q69" s="69"/>
      <c r="R69" s="69"/>
      <c r="S69" s="69">
        <v>1</v>
      </c>
      <c r="T69" s="69">
        <v>1</v>
      </c>
      <c r="U69" s="69"/>
      <c r="V69" s="69"/>
      <c r="W69" s="69"/>
      <c r="X69" s="89">
        <v>8000</v>
      </c>
      <c r="Y69" s="69"/>
      <c r="Z69" s="69"/>
      <c r="AA69" s="95">
        <v>50</v>
      </c>
      <c r="AB69" s="69"/>
      <c r="AC69" s="66"/>
      <c r="AD69" s="73" t="s">
        <v>546</v>
      </c>
      <c r="AE69" s="73" t="s">
        <v>547</v>
      </c>
      <c r="AF69" s="73" t="s">
        <v>548</v>
      </c>
      <c r="AG69" s="69"/>
      <c r="AH69" s="66" t="s">
        <v>549</v>
      </c>
      <c r="AI69" s="69"/>
      <c r="AJ69" s="69"/>
      <c r="AK69" s="73" t="s">
        <v>550</v>
      </c>
      <c r="AL69" s="73" t="s">
        <v>551</v>
      </c>
      <c r="AM69" s="69"/>
      <c r="AN69" s="69">
        <v>1</v>
      </c>
      <c r="AO69" s="69">
        <v>0</v>
      </c>
      <c r="AP69" s="69">
        <v>1</v>
      </c>
      <c r="AQ69" s="69">
        <v>1</v>
      </c>
      <c r="AR69" s="69">
        <v>0</v>
      </c>
      <c r="AS69" s="69">
        <v>0</v>
      </c>
      <c r="AT69" s="69" t="str">
        <f t="shared" ref="AT69:AT70" si="15">"{s_taskTalk,{"&amp;J69&amp;","&amp;L69&amp;"}}"</f>
        <v>{s_taskTalk,{63074,63061}}</v>
      </c>
    </row>
    <row r="70" s="60" customFormat="1" customHeight="1" spans="1:46">
      <c r="A70" s="69">
        <v>7066</v>
      </c>
      <c r="B70" s="73" t="s">
        <v>64</v>
      </c>
      <c r="C70" s="73" t="s">
        <v>545</v>
      </c>
      <c r="D70" s="69">
        <v>1</v>
      </c>
      <c r="E70" s="69">
        <v>4</v>
      </c>
      <c r="F70" s="69">
        <v>1</v>
      </c>
      <c r="G70" s="69">
        <v>200</v>
      </c>
      <c r="H70" s="69">
        <v>7095</v>
      </c>
      <c r="I70" s="69">
        <v>0</v>
      </c>
      <c r="J70" s="79">
        <v>63061</v>
      </c>
      <c r="K70" s="85" t="s">
        <v>545</v>
      </c>
      <c r="L70" s="79">
        <v>63061</v>
      </c>
      <c r="M70" s="85" t="s">
        <v>545</v>
      </c>
      <c r="N70" s="69"/>
      <c r="O70" s="79"/>
      <c r="P70" s="69"/>
      <c r="Q70" s="81"/>
      <c r="R70" s="69"/>
      <c r="S70" s="69">
        <v>1</v>
      </c>
      <c r="T70" s="69">
        <v>1</v>
      </c>
      <c r="U70" s="69"/>
      <c r="V70" s="69"/>
      <c r="W70" s="69"/>
      <c r="X70" s="89">
        <v>10000</v>
      </c>
      <c r="Y70" s="69"/>
      <c r="Z70" s="69"/>
      <c r="AA70" s="95">
        <v>50</v>
      </c>
      <c r="AB70" s="69"/>
      <c r="AC70" s="69"/>
      <c r="AD70" s="73" t="s">
        <v>552</v>
      </c>
      <c r="AE70" s="66" t="s">
        <v>553</v>
      </c>
      <c r="AF70" s="66" t="s">
        <v>554</v>
      </c>
      <c r="AG70" s="69"/>
      <c r="AH70" s="66" t="s">
        <v>555</v>
      </c>
      <c r="AI70" s="69"/>
      <c r="AJ70" s="69"/>
      <c r="AK70" s="73" t="s">
        <v>556</v>
      </c>
      <c r="AL70" s="73" t="s">
        <v>557</v>
      </c>
      <c r="AM70" s="69"/>
      <c r="AN70" s="66">
        <v>1</v>
      </c>
      <c r="AO70" s="66">
        <v>0</v>
      </c>
      <c r="AP70" s="66">
        <v>1</v>
      </c>
      <c r="AQ70" s="66">
        <v>1</v>
      </c>
      <c r="AR70" s="69"/>
      <c r="AS70" s="66">
        <v>0</v>
      </c>
      <c r="AT70" s="97" t="str">
        <f t="shared" si="15"/>
        <v>{s_taskTalk,{63061,63061}}</v>
      </c>
    </row>
    <row r="71" s="60" customFormat="1" customHeight="1" spans="1:46">
      <c r="A71" s="69">
        <v>7067</v>
      </c>
      <c r="B71" s="73" t="s">
        <v>94</v>
      </c>
      <c r="C71" s="73" t="s">
        <v>558</v>
      </c>
      <c r="D71" s="69">
        <v>1</v>
      </c>
      <c r="E71" s="69">
        <v>4</v>
      </c>
      <c r="F71" s="69">
        <v>1</v>
      </c>
      <c r="G71" s="69">
        <v>200</v>
      </c>
      <c r="H71" s="69">
        <v>7066</v>
      </c>
      <c r="I71" s="69">
        <v>0</v>
      </c>
      <c r="J71" s="79">
        <v>63061</v>
      </c>
      <c r="K71" s="85" t="s">
        <v>545</v>
      </c>
      <c r="L71" s="79">
        <v>63061</v>
      </c>
      <c r="M71" s="85" t="s">
        <v>545</v>
      </c>
      <c r="N71" s="69"/>
      <c r="O71" s="79"/>
      <c r="P71" s="69"/>
      <c r="Q71" s="81">
        <v>15605</v>
      </c>
      <c r="R71" s="69"/>
      <c r="S71" s="69">
        <v>10</v>
      </c>
      <c r="T71" s="69">
        <v>0</v>
      </c>
      <c r="U71" s="69"/>
      <c r="V71" s="69"/>
      <c r="W71" s="69"/>
      <c r="X71" s="89">
        <v>30000</v>
      </c>
      <c r="Y71" s="69"/>
      <c r="Z71" s="69"/>
      <c r="AA71" s="95">
        <v>50</v>
      </c>
      <c r="AB71" s="69"/>
      <c r="AC71" s="69"/>
      <c r="AD71" s="73" t="s">
        <v>559</v>
      </c>
      <c r="AE71" s="66" t="s">
        <v>560</v>
      </c>
      <c r="AF71" s="66" t="s">
        <v>561</v>
      </c>
      <c r="AG71" s="69"/>
      <c r="AH71" s="66" t="s">
        <v>562</v>
      </c>
      <c r="AI71" s="69"/>
      <c r="AJ71" s="69"/>
      <c r="AK71" s="73" t="s">
        <v>563</v>
      </c>
      <c r="AL71" s="73" t="s">
        <v>564</v>
      </c>
      <c r="AM71" s="69"/>
      <c r="AN71" s="66">
        <v>1</v>
      </c>
      <c r="AO71" s="66">
        <v>0</v>
      </c>
      <c r="AP71" s="66">
        <v>1</v>
      </c>
      <c r="AQ71" s="66">
        <v>1</v>
      </c>
      <c r="AR71" s="69"/>
      <c r="AS71" s="66">
        <v>0</v>
      </c>
      <c r="AT71" s="73" t="s">
        <v>565</v>
      </c>
    </row>
    <row r="72" s="60" customFormat="1" customHeight="1" spans="1:46">
      <c r="A72" s="69">
        <v>7068</v>
      </c>
      <c r="B72" s="73" t="s">
        <v>64</v>
      </c>
      <c r="C72" s="73" t="s">
        <v>566</v>
      </c>
      <c r="D72" s="69">
        <v>1</v>
      </c>
      <c r="E72" s="69">
        <v>4</v>
      </c>
      <c r="F72" s="69">
        <v>1</v>
      </c>
      <c r="G72" s="69">
        <v>200</v>
      </c>
      <c r="H72" s="69">
        <v>7067</v>
      </c>
      <c r="I72" s="69">
        <v>0</v>
      </c>
      <c r="J72" s="79">
        <v>63061</v>
      </c>
      <c r="K72" s="85" t="s">
        <v>545</v>
      </c>
      <c r="L72" s="81">
        <v>63072</v>
      </c>
      <c r="M72" s="80" t="s">
        <v>567</v>
      </c>
      <c r="N72" s="69"/>
      <c r="O72" s="79"/>
      <c r="P72" s="69"/>
      <c r="Q72" s="81"/>
      <c r="R72" s="69"/>
      <c r="S72" s="69">
        <v>1</v>
      </c>
      <c r="T72" s="69">
        <v>1</v>
      </c>
      <c r="U72" s="69"/>
      <c r="V72" s="69"/>
      <c r="W72" s="69"/>
      <c r="X72" s="89">
        <v>20000</v>
      </c>
      <c r="Y72" s="69"/>
      <c r="Z72" s="69"/>
      <c r="AA72" s="95">
        <v>50</v>
      </c>
      <c r="AB72" s="69"/>
      <c r="AC72" s="69"/>
      <c r="AD72" s="73" t="s">
        <v>568</v>
      </c>
      <c r="AE72" s="66" t="s">
        <v>569</v>
      </c>
      <c r="AF72" s="66" t="s">
        <v>570</v>
      </c>
      <c r="AG72" s="69"/>
      <c r="AH72" s="66" t="s">
        <v>571</v>
      </c>
      <c r="AI72" s="69"/>
      <c r="AJ72" s="69"/>
      <c r="AK72" s="73" t="s">
        <v>572</v>
      </c>
      <c r="AL72" s="73" t="s">
        <v>573</v>
      </c>
      <c r="AM72" s="69"/>
      <c r="AN72" s="66">
        <v>1</v>
      </c>
      <c r="AO72" s="66">
        <v>0</v>
      </c>
      <c r="AP72" s="66">
        <v>1</v>
      </c>
      <c r="AQ72" s="66">
        <v>1</v>
      </c>
      <c r="AR72" s="69"/>
      <c r="AS72" s="66">
        <v>0</v>
      </c>
      <c r="AT72" s="97" t="str">
        <f t="shared" ref="AT72:AT74" si="16">"{s_taskTalk,{"&amp;J72&amp;","&amp;L72&amp;"}}"</f>
        <v>{s_taskTalk,{63061,63072}}</v>
      </c>
    </row>
    <row r="73" s="60" customFormat="1" customHeight="1" spans="1:46">
      <c r="A73" s="69">
        <v>7069</v>
      </c>
      <c r="B73" s="73" t="s">
        <v>64</v>
      </c>
      <c r="C73" s="73" t="s">
        <v>574</v>
      </c>
      <c r="D73" s="69">
        <v>1</v>
      </c>
      <c r="E73" s="69">
        <v>4</v>
      </c>
      <c r="F73" s="69">
        <v>1</v>
      </c>
      <c r="G73" s="69">
        <v>200</v>
      </c>
      <c r="H73" s="69">
        <v>7068</v>
      </c>
      <c r="I73" s="69">
        <v>0</v>
      </c>
      <c r="J73" s="81">
        <v>63072</v>
      </c>
      <c r="K73" s="80" t="s">
        <v>567</v>
      </c>
      <c r="L73" s="81">
        <v>63072</v>
      </c>
      <c r="M73" s="80" t="s">
        <v>567</v>
      </c>
      <c r="N73" s="69"/>
      <c r="O73" s="79"/>
      <c r="P73" s="69"/>
      <c r="Q73" s="81"/>
      <c r="R73" s="69"/>
      <c r="S73" s="69">
        <v>1</v>
      </c>
      <c r="T73" s="69">
        <v>1</v>
      </c>
      <c r="U73" s="69"/>
      <c r="V73" s="69"/>
      <c r="W73" s="69"/>
      <c r="X73" s="89">
        <v>24000</v>
      </c>
      <c r="Y73" s="69"/>
      <c r="Z73" s="69"/>
      <c r="AA73" s="95">
        <v>50</v>
      </c>
      <c r="AB73" s="69"/>
      <c r="AC73" s="69"/>
      <c r="AD73" s="73" t="s">
        <v>575</v>
      </c>
      <c r="AE73" s="66" t="s">
        <v>576</v>
      </c>
      <c r="AF73" s="66" t="s">
        <v>577</v>
      </c>
      <c r="AG73" s="69"/>
      <c r="AH73" s="66" t="s">
        <v>571</v>
      </c>
      <c r="AI73" s="69"/>
      <c r="AJ73" s="69"/>
      <c r="AK73" s="73" t="s">
        <v>578</v>
      </c>
      <c r="AL73" s="73" t="s">
        <v>579</v>
      </c>
      <c r="AM73" s="69"/>
      <c r="AN73" s="66">
        <v>1</v>
      </c>
      <c r="AO73" s="66">
        <v>0</v>
      </c>
      <c r="AP73" s="66">
        <v>1</v>
      </c>
      <c r="AQ73" s="66">
        <v>1</v>
      </c>
      <c r="AR73" s="69"/>
      <c r="AS73" s="66">
        <v>0</v>
      </c>
      <c r="AT73" s="97" t="str">
        <f t="shared" si="16"/>
        <v>{s_taskTalk,{63072,63072}}</v>
      </c>
    </row>
    <row r="74" s="60" customFormat="1" customHeight="1" spans="1:46">
      <c r="A74" s="69">
        <v>7070</v>
      </c>
      <c r="B74" s="73" t="s">
        <v>580</v>
      </c>
      <c r="C74" s="73" t="s">
        <v>581</v>
      </c>
      <c r="D74" s="69">
        <v>1</v>
      </c>
      <c r="E74" s="69">
        <v>4</v>
      </c>
      <c r="F74" s="69">
        <v>1</v>
      </c>
      <c r="G74" s="69">
        <v>200</v>
      </c>
      <c r="H74" s="69">
        <v>7069</v>
      </c>
      <c r="I74" s="69">
        <v>0</v>
      </c>
      <c r="J74" s="81">
        <v>63072</v>
      </c>
      <c r="K74" s="80" t="s">
        <v>567</v>
      </c>
      <c r="L74" s="81">
        <v>63072</v>
      </c>
      <c r="M74" s="80" t="s">
        <v>567</v>
      </c>
      <c r="N74" s="69"/>
      <c r="O74" s="81"/>
      <c r="P74" s="69"/>
      <c r="Q74" s="81"/>
      <c r="R74" s="69"/>
      <c r="S74" s="69">
        <v>1</v>
      </c>
      <c r="T74" s="69">
        <v>1</v>
      </c>
      <c r="U74" s="69"/>
      <c r="V74" s="69"/>
      <c r="W74" s="69"/>
      <c r="X74" s="89">
        <v>20000</v>
      </c>
      <c r="Y74" s="69"/>
      <c r="Z74" s="69"/>
      <c r="AA74" s="95">
        <v>50</v>
      </c>
      <c r="AB74" s="69"/>
      <c r="AC74" s="69"/>
      <c r="AD74" s="73" t="s">
        <v>582</v>
      </c>
      <c r="AE74" s="66" t="s">
        <v>583</v>
      </c>
      <c r="AF74" s="66" t="s">
        <v>584</v>
      </c>
      <c r="AG74" s="69"/>
      <c r="AH74" s="66" t="s">
        <v>571</v>
      </c>
      <c r="AI74" s="69"/>
      <c r="AJ74" s="69"/>
      <c r="AK74" s="73" t="s">
        <v>585</v>
      </c>
      <c r="AL74" s="73" t="s">
        <v>586</v>
      </c>
      <c r="AM74" s="69"/>
      <c r="AN74" s="66">
        <v>1</v>
      </c>
      <c r="AO74" s="66">
        <v>0</v>
      </c>
      <c r="AP74" s="66">
        <v>1</v>
      </c>
      <c r="AQ74" s="66">
        <v>1</v>
      </c>
      <c r="AR74" s="69"/>
      <c r="AS74" s="66">
        <v>0</v>
      </c>
      <c r="AT74" s="97" t="str">
        <f t="shared" si="16"/>
        <v>{s_taskTalk,{63072,63072}}</v>
      </c>
    </row>
    <row r="75" s="60" customFormat="1" customHeight="1" spans="1:46">
      <c r="A75" s="69">
        <v>7071</v>
      </c>
      <c r="B75" s="73" t="s">
        <v>94</v>
      </c>
      <c r="C75" s="73" t="s">
        <v>587</v>
      </c>
      <c r="D75" s="69">
        <v>1</v>
      </c>
      <c r="E75" s="69">
        <v>4</v>
      </c>
      <c r="F75" s="69">
        <v>1</v>
      </c>
      <c r="G75" s="69">
        <v>200</v>
      </c>
      <c r="H75" s="69">
        <v>7070</v>
      </c>
      <c r="I75" s="69">
        <v>0</v>
      </c>
      <c r="J75" s="81">
        <v>63072</v>
      </c>
      <c r="K75" s="80" t="s">
        <v>567</v>
      </c>
      <c r="L75" s="81">
        <v>63072</v>
      </c>
      <c r="M75" s="80" t="s">
        <v>567</v>
      </c>
      <c r="N75" s="69"/>
      <c r="O75" s="79"/>
      <c r="P75" s="69"/>
      <c r="Q75" s="81">
        <v>15606</v>
      </c>
      <c r="R75" s="69"/>
      <c r="S75" s="69">
        <v>10</v>
      </c>
      <c r="T75" s="69">
        <v>0</v>
      </c>
      <c r="U75" s="69"/>
      <c r="V75" s="69"/>
      <c r="W75" s="69"/>
      <c r="X75" s="89">
        <v>35000</v>
      </c>
      <c r="Y75" s="69"/>
      <c r="Z75" s="69"/>
      <c r="AA75" s="95">
        <v>50</v>
      </c>
      <c r="AB75" s="69"/>
      <c r="AC75" s="69"/>
      <c r="AD75" s="73" t="s">
        <v>588</v>
      </c>
      <c r="AE75" s="66" t="s">
        <v>589</v>
      </c>
      <c r="AF75" s="66" t="s">
        <v>561</v>
      </c>
      <c r="AG75" s="69"/>
      <c r="AH75" s="66" t="s">
        <v>590</v>
      </c>
      <c r="AI75" s="69"/>
      <c r="AJ75" s="69"/>
      <c r="AK75" s="73" t="s">
        <v>591</v>
      </c>
      <c r="AL75" s="73" t="s">
        <v>592</v>
      </c>
      <c r="AM75" s="69"/>
      <c r="AN75" s="66">
        <v>1</v>
      </c>
      <c r="AO75" s="66">
        <v>0</v>
      </c>
      <c r="AP75" s="66">
        <v>1</v>
      </c>
      <c r="AQ75" s="66">
        <v>1</v>
      </c>
      <c r="AR75" s="69"/>
      <c r="AS75" s="66">
        <v>0</v>
      </c>
      <c r="AT75" s="73" t="s">
        <v>593</v>
      </c>
    </row>
    <row r="76" s="60" customFormat="1" customHeight="1" spans="1:46">
      <c r="A76" s="69">
        <v>7072</v>
      </c>
      <c r="B76" s="73" t="s">
        <v>64</v>
      </c>
      <c r="C76" s="73" t="s">
        <v>162</v>
      </c>
      <c r="D76" s="69">
        <v>1</v>
      </c>
      <c r="E76" s="69">
        <v>4</v>
      </c>
      <c r="F76" s="69">
        <v>1</v>
      </c>
      <c r="G76" s="69">
        <v>200</v>
      </c>
      <c r="H76" s="69">
        <v>7071</v>
      </c>
      <c r="I76" s="69">
        <v>0</v>
      </c>
      <c r="J76" s="81">
        <v>63072</v>
      </c>
      <c r="K76" s="80" t="s">
        <v>567</v>
      </c>
      <c r="L76" s="81">
        <v>63073</v>
      </c>
      <c r="M76" s="80" t="s">
        <v>446</v>
      </c>
      <c r="N76" s="69"/>
      <c r="O76" s="79"/>
      <c r="P76" s="69"/>
      <c r="Q76" s="81"/>
      <c r="R76" s="69"/>
      <c r="S76" s="69">
        <v>1</v>
      </c>
      <c r="T76" s="69">
        <v>1</v>
      </c>
      <c r="U76" s="69"/>
      <c r="V76" s="69"/>
      <c r="W76" s="69"/>
      <c r="X76" s="89">
        <v>30000</v>
      </c>
      <c r="Y76" s="69"/>
      <c r="Z76" s="69"/>
      <c r="AA76" s="95">
        <v>50</v>
      </c>
      <c r="AB76" s="69"/>
      <c r="AC76" s="69"/>
      <c r="AD76" s="73" t="s">
        <v>594</v>
      </c>
      <c r="AE76" s="66" t="s">
        <v>595</v>
      </c>
      <c r="AF76" s="66" t="s">
        <v>596</v>
      </c>
      <c r="AG76" s="69"/>
      <c r="AH76" s="66" t="s">
        <v>597</v>
      </c>
      <c r="AI76" s="69"/>
      <c r="AJ76" s="69"/>
      <c r="AK76" s="73" t="s">
        <v>598</v>
      </c>
      <c r="AL76" s="73" t="s">
        <v>599</v>
      </c>
      <c r="AM76" s="69"/>
      <c r="AN76" s="66">
        <v>1</v>
      </c>
      <c r="AO76" s="66">
        <v>0</v>
      </c>
      <c r="AP76" s="66">
        <v>1</v>
      </c>
      <c r="AQ76" s="66">
        <v>1</v>
      </c>
      <c r="AR76" s="69"/>
      <c r="AS76" s="66">
        <v>0</v>
      </c>
      <c r="AT76" s="97" t="str">
        <f t="shared" ref="AT76" si="17">"{s_taskTalk,{"&amp;J76&amp;","&amp;L76&amp;"}}"</f>
        <v>{s_taskTalk,{63072,63073}}</v>
      </c>
    </row>
    <row r="77" s="60" customFormat="1" customHeight="1" spans="1:46">
      <c r="A77" s="69">
        <v>7094</v>
      </c>
      <c r="B77" s="73" t="s">
        <v>64</v>
      </c>
      <c r="C77" s="73" t="s">
        <v>600</v>
      </c>
      <c r="D77" s="69">
        <v>1</v>
      </c>
      <c r="E77" s="69">
        <v>4</v>
      </c>
      <c r="F77" s="69">
        <v>1</v>
      </c>
      <c r="G77" s="69">
        <v>200</v>
      </c>
      <c r="H77" s="69">
        <v>7072</v>
      </c>
      <c r="I77" s="69">
        <v>0</v>
      </c>
      <c r="J77" s="81">
        <v>63073</v>
      </c>
      <c r="K77" s="80" t="s">
        <v>446</v>
      </c>
      <c r="L77" s="79">
        <v>63057</v>
      </c>
      <c r="M77" s="70" t="s">
        <v>601</v>
      </c>
      <c r="N77" s="69"/>
      <c r="O77" s="79"/>
      <c r="P77" s="69"/>
      <c r="Q77" s="81"/>
      <c r="R77" s="69"/>
      <c r="S77" s="69">
        <v>1</v>
      </c>
      <c r="T77" s="69">
        <v>1</v>
      </c>
      <c r="U77" s="69"/>
      <c r="V77" s="69"/>
      <c r="W77" s="69"/>
      <c r="X77" s="89">
        <v>30000</v>
      </c>
      <c r="Y77" s="69"/>
      <c r="Z77" s="69"/>
      <c r="AA77" s="95">
        <v>50</v>
      </c>
      <c r="AB77" s="69"/>
      <c r="AC77" s="69"/>
      <c r="AD77" s="73" t="s">
        <v>602</v>
      </c>
      <c r="AE77" s="66" t="s">
        <v>603</v>
      </c>
      <c r="AF77" s="66" t="s">
        <v>604</v>
      </c>
      <c r="AG77" s="69"/>
      <c r="AH77" s="66" t="s">
        <v>605</v>
      </c>
      <c r="AI77" s="69"/>
      <c r="AJ77" s="69"/>
      <c r="AK77" s="73" t="s">
        <v>606</v>
      </c>
      <c r="AL77" s="73" t="s">
        <v>607</v>
      </c>
      <c r="AM77" s="69"/>
      <c r="AN77" s="66">
        <v>1</v>
      </c>
      <c r="AO77" s="66">
        <v>0</v>
      </c>
      <c r="AP77" s="66">
        <v>1</v>
      </c>
      <c r="AQ77" s="66">
        <v>1</v>
      </c>
      <c r="AR77" s="69"/>
      <c r="AS77" s="66">
        <v>0</v>
      </c>
      <c r="AT77" s="97" t="str">
        <f t="shared" ref="AT77:AT78" si="18">"{s_taskTalk,{"&amp;J77&amp;","&amp;L77&amp;"}}"</f>
        <v>{s_taskTalk,{63073,63057}}</v>
      </c>
    </row>
    <row r="78" s="60" customFormat="1" customHeight="1" spans="1:46">
      <c r="A78" s="69">
        <v>7054</v>
      </c>
      <c r="B78" s="73" t="s">
        <v>64</v>
      </c>
      <c r="C78" s="73" t="s">
        <v>601</v>
      </c>
      <c r="D78" s="69">
        <v>1</v>
      </c>
      <c r="E78" s="69">
        <v>3</v>
      </c>
      <c r="F78" s="69">
        <v>1</v>
      </c>
      <c r="G78" s="69">
        <v>200</v>
      </c>
      <c r="H78" s="69">
        <v>7094</v>
      </c>
      <c r="I78" s="69">
        <v>0</v>
      </c>
      <c r="J78" s="79">
        <v>63057</v>
      </c>
      <c r="K78" s="70" t="s">
        <v>601</v>
      </c>
      <c r="L78" s="79">
        <v>63057</v>
      </c>
      <c r="M78" s="70" t="s">
        <v>601</v>
      </c>
      <c r="N78" s="69"/>
      <c r="O78" s="69"/>
      <c r="P78" s="69"/>
      <c r="Q78" s="81"/>
      <c r="R78" s="69"/>
      <c r="S78" s="69">
        <v>1</v>
      </c>
      <c r="T78" s="69">
        <v>1</v>
      </c>
      <c r="U78" s="69"/>
      <c r="V78" s="69"/>
      <c r="W78" s="69"/>
      <c r="X78" s="89">
        <v>30000</v>
      </c>
      <c r="Y78" s="69"/>
      <c r="Z78" s="69"/>
      <c r="AA78" s="95">
        <v>50</v>
      </c>
      <c r="AB78" s="69"/>
      <c r="AC78" s="69"/>
      <c r="AD78" s="73" t="s">
        <v>608</v>
      </c>
      <c r="AE78" s="66" t="s">
        <v>609</v>
      </c>
      <c r="AF78" s="66" t="s">
        <v>610</v>
      </c>
      <c r="AG78" s="69"/>
      <c r="AH78" s="66" t="s">
        <v>611</v>
      </c>
      <c r="AI78" s="69"/>
      <c r="AJ78" s="69"/>
      <c r="AK78" s="73" t="s">
        <v>612</v>
      </c>
      <c r="AL78" s="73" t="s">
        <v>613</v>
      </c>
      <c r="AM78" s="69"/>
      <c r="AN78" s="66">
        <v>1</v>
      </c>
      <c r="AO78" s="66">
        <v>0</v>
      </c>
      <c r="AP78" s="66">
        <v>1</v>
      </c>
      <c r="AQ78" s="66">
        <v>1</v>
      </c>
      <c r="AR78" s="69"/>
      <c r="AS78" s="66">
        <v>0</v>
      </c>
      <c r="AT78" s="97" t="str">
        <f t="shared" si="18"/>
        <v>{s_taskTalk,{63057,63057}}</v>
      </c>
    </row>
    <row r="79" s="60" customFormat="1" customHeight="1" spans="1:46">
      <c r="A79" s="69">
        <v>7055</v>
      </c>
      <c r="B79" s="73" t="s">
        <v>614</v>
      </c>
      <c r="C79" s="60" t="s">
        <v>615</v>
      </c>
      <c r="D79" s="69">
        <v>1</v>
      </c>
      <c r="E79" s="69">
        <v>3</v>
      </c>
      <c r="F79" s="69">
        <v>1</v>
      </c>
      <c r="G79" s="69">
        <v>200</v>
      </c>
      <c r="H79" s="69">
        <v>7054</v>
      </c>
      <c r="I79" s="69">
        <v>0</v>
      </c>
      <c r="J79" s="79">
        <v>63057</v>
      </c>
      <c r="K79" s="70" t="s">
        <v>601</v>
      </c>
      <c r="L79" s="79">
        <v>63057</v>
      </c>
      <c r="M79" s="70" t="s">
        <v>601</v>
      </c>
      <c r="N79" s="69"/>
      <c r="O79" s="69"/>
      <c r="P79" s="69"/>
      <c r="Q79" s="81">
        <v>15600</v>
      </c>
      <c r="R79" s="69"/>
      <c r="S79" s="69">
        <v>10</v>
      </c>
      <c r="T79" s="69">
        <v>0</v>
      </c>
      <c r="U79" s="69"/>
      <c r="V79" s="69"/>
      <c r="W79" s="69"/>
      <c r="X79" s="89">
        <v>35000</v>
      </c>
      <c r="Y79" s="69"/>
      <c r="Z79" s="69"/>
      <c r="AA79" s="95">
        <v>50</v>
      </c>
      <c r="AB79" s="69"/>
      <c r="AC79" s="69"/>
      <c r="AD79" s="73" t="s">
        <v>616</v>
      </c>
      <c r="AE79" s="66" t="s">
        <v>617</v>
      </c>
      <c r="AF79" s="66" t="s">
        <v>618</v>
      </c>
      <c r="AG79" s="69"/>
      <c r="AH79" s="66" t="s">
        <v>611</v>
      </c>
      <c r="AI79" s="69"/>
      <c r="AJ79" s="69"/>
      <c r="AK79" s="73" t="s">
        <v>619</v>
      </c>
      <c r="AL79" s="73" t="s">
        <v>620</v>
      </c>
      <c r="AM79" s="69"/>
      <c r="AN79" s="69">
        <v>1</v>
      </c>
      <c r="AO79" s="69">
        <v>0</v>
      </c>
      <c r="AP79" s="69">
        <v>1</v>
      </c>
      <c r="AQ79" s="69">
        <v>1</v>
      </c>
      <c r="AR79" s="69">
        <v>0</v>
      </c>
      <c r="AS79" s="69">
        <v>0</v>
      </c>
      <c r="AT79" s="73" t="s">
        <v>621</v>
      </c>
    </row>
    <row r="80" s="60" customFormat="1" customHeight="1" spans="1:46">
      <c r="A80" s="69">
        <v>7056</v>
      </c>
      <c r="B80" s="73" t="s">
        <v>64</v>
      </c>
      <c r="C80" s="73" t="s">
        <v>622</v>
      </c>
      <c r="D80" s="69">
        <v>1</v>
      </c>
      <c r="E80" s="69">
        <v>3</v>
      </c>
      <c r="F80" s="69">
        <v>1</v>
      </c>
      <c r="G80" s="69">
        <v>200</v>
      </c>
      <c r="H80" s="69">
        <v>7055</v>
      </c>
      <c r="I80" s="69">
        <v>0</v>
      </c>
      <c r="J80" s="79">
        <v>63057</v>
      </c>
      <c r="K80" s="70" t="s">
        <v>601</v>
      </c>
      <c r="L80" s="79">
        <v>63058</v>
      </c>
      <c r="M80" s="70" t="s">
        <v>622</v>
      </c>
      <c r="N80" s="69"/>
      <c r="O80" s="69"/>
      <c r="P80" s="69"/>
      <c r="Q80" s="81"/>
      <c r="R80" s="69"/>
      <c r="S80" s="69">
        <v>1</v>
      </c>
      <c r="T80" s="69">
        <v>1</v>
      </c>
      <c r="U80" s="69"/>
      <c r="V80" s="69"/>
      <c r="W80" s="69"/>
      <c r="X80" s="89">
        <v>25000</v>
      </c>
      <c r="Y80" s="69"/>
      <c r="Z80" s="69"/>
      <c r="AA80" s="95">
        <v>50</v>
      </c>
      <c r="AB80" s="69"/>
      <c r="AC80" s="69"/>
      <c r="AD80" s="73" t="s">
        <v>623</v>
      </c>
      <c r="AE80" s="66" t="s">
        <v>624</v>
      </c>
      <c r="AF80" s="66" t="s">
        <v>625</v>
      </c>
      <c r="AG80" s="69"/>
      <c r="AH80" s="66" t="s">
        <v>611</v>
      </c>
      <c r="AI80" s="69"/>
      <c r="AJ80" s="69"/>
      <c r="AK80" s="73" t="s">
        <v>626</v>
      </c>
      <c r="AL80" s="73" t="s">
        <v>627</v>
      </c>
      <c r="AM80" s="69"/>
      <c r="AN80" s="66">
        <v>1</v>
      </c>
      <c r="AO80" s="66">
        <v>0</v>
      </c>
      <c r="AP80" s="66">
        <v>1</v>
      </c>
      <c r="AQ80" s="66">
        <v>1</v>
      </c>
      <c r="AR80" s="69"/>
      <c r="AS80" s="66">
        <v>0</v>
      </c>
      <c r="AT80" s="97" t="str">
        <f>"{s_taskTalk,{"&amp;J80&amp;","&amp;L80&amp;"}}"</f>
        <v>{s_taskTalk,{63057,63058}}</v>
      </c>
    </row>
    <row r="81" s="60" customFormat="1" customHeight="1" spans="1:46">
      <c r="A81" s="69">
        <v>7057</v>
      </c>
      <c r="B81" s="73" t="s">
        <v>628</v>
      </c>
      <c r="C81" s="73" t="s">
        <v>629</v>
      </c>
      <c r="D81" s="69">
        <v>1</v>
      </c>
      <c r="E81" s="69">
        <v>3</v>
      </c>
      <c r="F81" s="69">
        <v>1</v>
      </c>
      <c r="G81" s="69">
        <v>200</v>
      </c>
      <c r="H81" s="69">
        <v>7056</v>
      </c>
      <c r="I81" s="69">
        <v>0</v>
      </c>
      <c r="J81" s="79">
        <v>63058</v>
      </c>
      <c r="K81" s="85" t="s">
        <v>622</v>
      </c>
      <c r="L81" s="79">
        <v>63058</v>
      </c>
      <c r="M81" s="85" t="s">
        <v>622</v>
      </c>
      <c r="N81" s="69"/>
      <c r="O81" s="69"/>
      <c r="P81" s="69"/>
      <c r="Q81" s="81"/>
      <c r="R81" s="69"/>
      <c r="S81" s="69">
        <v>4</v>
      </c>
      <c r="T81" s="69">
        <v>0</v>
      </c>
      <c r="U81" s="69"/>
      <c r="V81" s="69"/>
      <c r="W81" s="69"/>
      <c r="X81" s="89">
        <v>30000</v>
      </c>
      <c r="Y81" s="69"/>
      <c r="Z81" s="69"/>
      <c r="AA81" s="95">
        <v>50</v>
      </c>
      <c r="AB81" s="69"/>
      <c r="AC81" s="69"/>
      <c r="AD81" s="73" t="s">
        <v>630</v>
      </c>
      <c r="AE81" s="66" t="s">
        <v>631</v>
      </c>
      <c r="AF81" s="66" t="s">
        <v>632</v>
      </c>
      <c r="AG81" s="69"/>
      <c r="AH81" s="66" t="s">
        <v>633</v>
      </c>
      <c r="AI81" s="69"/>
      <c r="AJ81" s="69"/>
      <c r="AK81" s="73" t="s">
        <v>634</v>
      </c>
      <c r="AL81" s="73" t="s">
        <v>635</v>
      </c>
      <c r="AM81" s="69"/>
      <c r="AN81" s="66">
        <v>1</v>
      </c>
      <c r="AO81" s="66">
        <v>0</v>
      </c>
      <c r="AP81" s="66">
        <v>1</v>
      </c>
      <c r="AQ81" s="66">
        <v>1</v>
      </c>
      <c r="AR81" s="69"/>
      <c r="AS81" s="66">
        <v>0</v>
      </c>
      <c r="AT81" s="97" t="str">
        <f>"{s_taskTalk,{"&amp;J81&amp;","&amp;L81&amp;"}}"</f>
        <v>{s_taskTalk,{63058,63058}}</v>
      </c>
    </row>
    <row r="82" s="60" customFormat="1" customHeight="1" spans="1:46">
      <c r="A82" s="69">
        <v>7058</v>
      </c>
      <c r="B82" s="73" t="s">
        <v>94</v>
      </c>
      <c r="C82" s="73" t="s">
        <v>636</v>
      </c>
      <c r="D82" s="69">
        <v>1</v>
      </c>
      <c r="E82" s="69">
        <v>3</v>
      </c>
      <c r="F82" s="69">
        <v>1</v>
      </c>
      <c r="G82" s="69">
        <v>200</v>
      </c>
      <c r="H82" s="69">
        <v>7057</v>
      </c>
      <c r="I82" s="69">
        <v>0</v>
      </c>
      <c r="J82" s="79">
        <v>63058</v>
      </c>
      <c r="K82" s="70" t="s">
        <v>622</v>
      </c>
      <c r="L82" s="79">
        <v>63058</v>
      </c>
      <c r="M82" s="70" t="s">
        <v>622</v>
      </c>
      <c r="N82" s="69"/>
      <c r="O82" s="69"/>
      <c r="P82" s="69"/>
      <c r="Q82" s="81">
        <v>15601</v>
      </c>
      <c r="R82" s="69"/>
      <c r="S82" s="69">
        <v>10</v>
      </c>
      <c r="T82" s="69">
        <v>0</v>
      </c>
      <c r="U82" s="69"/>
      <c r="V82" s="69"/>
      <c r="W82" s="69"/>
      <c r="X82" s="89">
        <v>40000</v>
      </c>
      <c r="Y82" s="69"/>
      <c r="Z82" s="69"/>
      <c r="AA82" s="95">
        <v>50</v>
      </c>
      <c r="AB82" s="69"/>
      <c r="AC82" s="69"/>
      <c r="AD82" s="73" t="s">
        <v>637</v>
      </c>
      <c r="AE82" s="66" t="s">
        <v>638</v>
      </c>
      <c r="AF82" s="66" t="s">
        <v>639</v>
      </c>
      <c r="AG82" s="69"/>
      <c r="AH82" s="66" t="s">
        <v>640</v>
      </c>
      <c r="AI82" s="69"/>
      <c r="AJ82" s="69"/>
      <c r="AK82" s="73" t="s">
        <v>641</v>
      </c>
      <c r="AL82" s="73" t="s">
        <v>642</v>
      </c>
      <c r="AM82" s="69"/>
      <c r="AN82" s="66">
        <v>1</v>
      </c>
      <c r="AO82" s="66">
        <v>0</v>
      </c>
      <c r="AP82" s="66">
        <v>1</v>
      </c>
      <c r="AQ82" s="66">
        <v>1</v>
      </c>
      <c r="AR82" s="69"/>
      <c r="AS82" s="66">
        <v>0</v>
      </c>
      <c r="AT82" s="73" t="s">
        <v>643</v>
      </c>
    </row>
    <row r="83" s="60" customFormat="1" customHeight="1" spans="1:46">
      <c r="A83" s="69">
        <v>7059</v>
      </c>
      <c r="B83" s="73" t="s">
        <v>55</v>
      </c>
      <c r="C83" s="73" t="s">
        <v>644</v>
      </c>
      <c r="D83" s="69">
        <v>1</v>
      </c>
      <c r="E83" s="69">
        <v>3</v>
      </c>
      <c r="F83" s="69">
        <v>1</v>
      </c>
      <c r="G83" s="69">
        <v>200</v>
      </c>
      <c r="H83" s="69">
        <v>7058</v>
      </c>
      <c r="I83" s="69">
        <v>0</v>
      </c>
      <c r="J83" s="79">
        <v>63058</v>
      </c>
      <c r="K83" s="70" t="s">
        <v>622</v>
      </c>
      <c r="L83" s="79">
        <v>63059</v>
      </c>
      <c r="M83" s="70" t="s">
        <v>645</v>
      </c>
      <c r="N83" s="69"/>
      <c r="O83" s="79">
        <v>63059</v>
      </c>
      <c r="P83" s="69"/>
      <c r="Q83" s="79">
        <v>63059</v>
      </c>
      <c r="R83" s="69"/>
      <c r="S83" s="69">
        <v>1</v>
      </c>
      <c r="T83" s="69">
        <v>0</v>
      </c>
      <c r="U83" s="69"/>
      <c r="V83" s="69"/>
      <c r="W83" s="69"/>
      <c r="X83" s="89">
        <v>40000</v>
      </c>
      <c r="Y83" s="69"/>
      <c r="Z83" s="69"/>
      <c r="AA83" s="95">
        <v>50</v>
      </c>
      <c r="AB83" s="69"/>
      <c r="AC83" s="69"/>
      <c r="AD83" s="73" t="s">
        <v>646</v>
      </c>
      <c r="AE83" s="66" t="s">
        <v>647</v>
      </c>
      <c r="AF83" s="66" t="s">
        <v>648</v>
      </c>
      <c r="AG83" s="69"/>
      <c r="AH83" s="66" t="s">
        <v>649</v>
      </c>
      <c r="AI83" s="69"/>
      <c r="AJ83" s="69"/>
      <c r="AK83" s="73" t="s">
        <v>650</v>
      </c>
      <c r="AL83" s="73" t="s">
        <v>651</v>
      </c>
      <c r="AM83" s="69"/>
      <c r="AN83" s="66">
        <v>1</v>
      </c>
      <c r="AO83" s="66">
        <v>0</v>
      </c>
      <c r="AP83" s="66">
        <v>1</v>
      </c>
      <c r="AQ83" s="66">
        <v>1</v>
      </c>
      <c r="AR83" s="69"/>
      <c r="AS83" s="66">
        <v>0</v>
      </c>
      <c r="AT83" s="97" t="str">
        <f t="shared" ref="AT83:AT86" si="19">"{s_taskTalk,{"&amp;J83&amp;","&amp;L83&amp;"}}"</f>
        <v>{s_taskTalk,{63058,63059}}</v>
      </c>
    </row>
    <row r="84" s="60" customFormat="1" customHeight="1" spans="1:46">
      <c r="A84" s="69">
        <v>7060</v>
      </c>
      <c r="B84" s="73" t="s">
        <v>64</v>
      </c>
      <c r="C84" s="73" t="s">
        <v>652</v>
      </c>
      <c r="D84" s="69">
        <v>1</v>
      </c>
      <c r="E84" s="69">
        <v>3</v>
      </c>
      <c r="F84" s="69">
        <v>1</v>
      </c>
      <c r="G84" s="69">
        <v>200</v>
      </c>
      <c r="H84" s="69">
        <v>7059</v>
      </c>
      <c r="I84" s="69">
        <v>0</v>
      </c>
      <c r="J84" s="79">
        <v>63059</v>
      </c>
      <c r="K84" s="70" t="s">
        <v>645</v>
      </c>
      <c r="L84" s="79">
        <v>63059</v>
      </c>
      <c r="M84" s="70" t="s">
        <v>645</v>
      </c>
      <c r="N84" s="69"/>
      <c r="O84" s="79"/>
      <c r="P84" s="69"/>
      <c r="Q84" s="79"/>
      <c r="R84" s="69"/>
      <c r="S84" s="69">
        <v>1</v>
      </c>
      <c r="T84" s="69">
        <v>1</v>
      </c>
      <c r="U84" s="69"/>
      <c r="V84" s="69"/>
      <c r="W84" s="69"/>
      <c r="X84" s="89">
        <v>30000</v>
      </c>
      <c r="Y84" s="69"/>
      <c r="Z84" s="69"/>
      <c r="AA84" s="95">
        <v>50</v>
      </c>
      <c r="AB84" s="69"/>
      <c r="AC84" s="69"/>
      <c r="AD84" s="73" t="s">
        <v>653</v>
      </c>
      <c r="AE84" s="66" t="s">
        <v>654</v>
      </c>
      <c r="AF84" s="66" t="s">
        <v>655</v>
      </c>
      <c r="AG84" s="69"/>
      <c r="AH84" s="66" t="s">
        <v>656</v>
      </c>
      <c r="AI84" s="69"/>
      <c r="AJ84" s="69"/>
      <c r="AK84" s="73" t="s">
        <v>657</v>
      </c>
      <c r="AL84" s="73" t="s">
        <v>658</v>
      </c>
      <c r="AM84" s="69"/>
      <c r="AN84" s="66">
        <v>1</v>
      </c>
      <c r="AO84" s="66">
        <v>0</v>
      </c>
      <c r="AP84" s="66">
        <v>1</v>
      </c>
      <c r="AQ84" s="66">
        <v>1</v>
      </c>
      <c r="AR84" s="69"/>
      <c r="AS84" s="66">
        <v>0</v>
      </c>
      <c r="AT84" s="97" t="str">
        <f t="shared" si="19"/>
        <v>{s_taskTalk,{63059,63059}}</v>
      </c>
    </row>
    <row r="85" s="60" customFormat="1" customHeight="1" spans="1:46">
      <c r="A85" s="69">
        <v>7061</v>
      </c>
      <c r="B85" s="73" t="s">
        <v>614</v>
      </c>
      <c r="C85" s="73" t="s">
        <v>659</v>
      </c>
      <c r="D85" s="69">
        <v>1</v>
      </c>
      <c r="E85" s="69">
        <v>3</v>
      </c>
      <c r="F85" s="69">
        <v>1</v>
      </c>
      <c r="G85" s="69">
        <v>200</v>
      </c>
      <c r="H85" s="69">
        <v>7060</v>
      </c>
      <c r="I85" s="69">
        <v>0</v>
      </c>
      <c r="J85" s="79">
        <v>63059</v>
      </c>
      <c r="K85" s="70" t="s">
        <v>645</v>
      </c>
      <c r="L85" s="79">
        <v>63059</v>
      </c>
      <c r="M85" s="70" t="s">
        <v>645</v>
      </c>
      <c r="N85" s="69"/>
      <c r="O85" s="79"/>
      <c r="P85" s="69"/>
      <c r="Q85" s="81">
        <v>15602</v>
      </c>
      <c r="R85" s="69"/>
      <c r="S85" s="69">
        <v>12</v>
      </c>
      <c r="T85" s="69">
        <v>0</v>
      </c>
      <c r="U85" s="69"/>
      <c r="V85" s="69"/>
      <c r="W85" s="69"/>
      <c r="X85" s="89">
        <v>60000</v>
      </c>
      <c r="Y85" s="69"/>
      <c r="Z85" s="69"/>
      <c r="AA85" s="95">
        <v>50</v>
      </c>
      <c r="AB85" s="69"/>
      <c r="AC85" s="69"/>
      <c r="AD85" s="73" t="s">
        <v>660</v>
      </c>
      <c r="AE85" s="66" t="s">
        <v>661</v>
      </c>
      <c r="AF85" s="66" t="s">
        <v>662</v>
      </c>
      <c r="AG85" s="69"/>
      <c r="AH85" s="66" t="s">
        <v>640</v>
      </c>
      <c r="AI85" s="69"/>
      <c r="AJ85" s="69"/>
      <c r="AK85" s="73" t="s">
        <v>663</v>
      </c>
      <c r="AL85" s="73" t="s">
        <v>664</v>
      </c>
      <c r="AM85" s="69"/>
      <c r="AN85" s="66">
        <v>1</v>
      </c>
      <c r="AO85" s="66">
        <v>0</v>
      </c>
      <c r="AP85" s="66">
        <v>1</v>
      </c>
      <c r="AQ85" s="66">
        <v>1</v>
      </c>
      <c r="AR85" s="69"/>
      <c r="AS85" s="66">
        <v>0</v>
      </c>
      <c r="AT85" s="73" t="s">
        <v>665</v>
      </c>
    </row>
    <row r="86" s="60" customFormat="1" customHeight="1" spans="1:46">
      <c r="A86" s="69">
        <v>7062</v>
      </c>
      <c r="B86" s="73" t="s">
        <v>64</v>
      </c>
      <c r="C86" s="73" t="s">
        <v>666</v>
      </c>
      <c r="D86" s="69">
        <v>1</v>
      </c>
      <c r="E86" s="69">
        <v>3</v>
      </c>
      <c r="F86" s="69">
        <v>1</v>
      </c>
      <c r="G86" s="69">
        <v>200</v>
      </c>
      <c r="H86" s="69">
        <v>7061</v>
      </c>
      <c r="I86" s="69">
        <v>0</v>
      </c>
      <c r="J86" s="79">
        <v>63059</v>
      </c>
      <c r="K86" s="70" t="s">
        <v>645</v>
      </c>
      <c r="L86" s="79">
        <v>63060</v>
      </c>
      <c r="M86" s="70" t="s">
        <v>667</v>
      </c>
      <c r="N86" s="69"/>
      <c r="O86" s="79"/>
      <c r="P86" s="69"/>
      <c r="Q86" s="81"/>
      <c r="R86" s="69"/>
      <c r="S86" s="69">
        <v>1</v>
      </c>
      <c r="T86" s="69">
        <v>1</v>
      </c>
      <c r="U86" s="69"/>
      <c r="V86" s="69"/>
      <c r="W86" s="69"/>
      <c r="X86" s="89">
        <v>30000</v>
      </c>
      <c r="Y86" s="69"/>
      <c r="Z86" s="69"/>
      <c r="AA86" s="95">
        <v>50</v>
      </c>
      <c r="AB86" s="69"/>
      <c r="AC86" s="69"/>
      <c r="AD86" s="73" t="s">
        <v>668</v>
      </c>
      <c r="AE86" s="66" t="s">
        <v>669</v>
      </c>
      <c r="AF86" s="66" t="s">
        <v>670</v>
      </c>
      <c r="AG86" s="69"/>
      <c r="AH86" s="66" t="s">
        <v>671</v>
      </c>
      <c r="AI86" s="69"/>
      <c r="AJ86" s="69"/>
      <c r="AK86" s="73" t="s">
        <v>672</v>
      </c>
      <c r="AL86" s="73" t="s">
        <v>673</v>
      </c>
      <c r="AM86" s="69"/>
      <c r="AN86" s="66">
        <v>1</v>
      </c>
      <c r="AO86" s="66">
        <v>0</v>
      </c>
      <c r="AP86" s="66">
        <v>1</v>
      </c>
      <c r="AQ86" s="66">
        <v>1</v>
      </c>
      <c r="AR86" s="69"/>
      <c r="AS86" s="66">
        <v>0</v>
      </c>
      <c r="AT86" s="97" t="str">
        <f t="shared" si="19"/>
        <v>{s_taskTalk,{63059,63060}}</v>
      </c>
    </row>
    <row r="87" s="60" customFormat="1" customHeight="1" spans="1:46">
      <c r="A87" s="69">
        <v>7063</v>
      </c>
      <c r="B87" s="73" t="s">
        <v>614</v>
      </c>
      <c r="C87" s="73" t="s">
        <v>674</v>
      </c>
      <c r="D87" s="69">
        <v>1</v>
      </c>
      <c r="E87" s="69">
        <v>3</v>
      </c>
      <c r="F87" s="69">
        <v>1</v>
      </c>
      <c r="G87" s="69">
        <v>200</v>
      </c>
      <c r="H87" s="69">
        <v>7062</v>
      </c>
      <c r="I87" s="69">
        <v>0</v>
      </c>
      <c r="J87" s="79">
        <v>63060</v>
      </c>
      <c r="K87" s="70" t="s">
        <v>667</v>
      </c>
      <c r="L87" s="79">
        <v>63060</v>
      </c>
      <c r="M87" s="70" t="s">
        <v>667</v>
      </c>
      <c r="N87" s="69"/>
      <c r="O87" s="79"/>
      <c r="P87" s="69"/>
      <c r="Q87" s="81">
        <v>15603</v>
      </c>
      <c r="R87" s="69"/>
      <c r="S87" s="69">
        <v>12</v>
      </c>
      <c r="T87" s="69">
        <v>0</v>
      </c>
      <c r="U87" s="69"/>
      <c r="V87" s="69"/>
      <c r="W87" s="69"/>
      <c r="X87" s="89">
        <v>60000</v>
      </c>
      <c r="Y87" s="69"/>
      <c r="Z87" s="69"/>
      <c r="AA87" s="95">
        <v>50</v>
      </c>
      <c r="AB87" s="69"/>
      <c r="AC87" s="69"/>
      <c r="AD87" s="73" t="s">
        <v>675</v>
      </c>
      <c r="AE87" s="66" t="s">
        <v>676</v>
      </c>
      <c r="AF87" s="66" t="s">
        <v>677</v>
      </c>
      <c r="AG87" s="69"/>
      <c r="AH87" s="66" t="s">
        <v>671</v>
      </c>
      <c r="AI87" s="69"/>
      <c r="AJ87" s="69"/>
      <c r="AK87" s="73" t="s">
        <v>678</v>
      </c>
      <c r="AL87" s="73" t="s">
        <v>679</v>
      </c>
      <c r="AM87" s="69"/>
      <c r="AN87" s="66">
        <v>1</v>
      </c>
      <c r="AO87" s="66">
        <v>0</v>
      </c>
      <c r="AP87" s="66">
        <v>1</v>
      </c>
      <c r="AQ87" s="66">
        <v>1</v>
      </c>
      <c r="AR87" s="69"/>
      <c r="AS87" s="66">
        <v>0</v>
      </c>
      <c r="AT87" s="73" t="s">
        <v>680</v>
      </c>
    </row>
    <row r="88" s="60" customFormat="1" customHeight="1" spans="1:46">
      <c r="A88" s="69">
        <v>7064</v>
      </c>
      <c r="B88" s="73" t="s">
        <v>614</v>
      </c>
      <c r="C88" s="73" t="s">
        <v>681</v>
      </c>
      <c r="D88" s="69">
        <v>1</v>
      </c>
      <c r="E88" s="69">
        <v>3</v>
      </c>
      <c r="F88" s="69">
        <v>1</v>
      </c>
      <c r="G88" s="69">
        <v>200</v>
      </c>
      <c r="H88" s="69">
        <v>7063</v>
      </c>
      <c r="I88" s="69">
        <v>0</v>
      </c>
      <c r="J88" s="79">
        <v>63060</v>
      </c>
      <c r="K88" s="70" t="s">
        <v>667</v>
      </c>
      <c r="L88" s="79">
        <v>63060</v>
      </c>
      <c r="M88" s="70" t="s">
        <v>667</v>
      </c>
      <c r="N88" s="69"/>
      <c r="O88" s="79"/>
      <c r="P88" s="69"/>
      <c r="Q88" s="81">
        <v>15604</v>
      </c>
      <c r="R88" s="69"/>
      <c r="S88" s="69">
        <v>12</v>
      </c>
      <c r="T88" s="69">
        <v>0</v>
      </c>
      <c r="U88" s="69"/>
      <c r="V88" s="69"/>
      <c r="W88" s="69"/>
      <c r="X88" s="89">
        <v>60000</v>
      </c>
      <c r="Y88" s="69"/>
      <c r="Z88" s="69"/>
      <c r="AA88" s="95">
        <v>50</v>
      </c>
      <c r="AB88" s="69"/>
      <c r="AC88" s="69"/>
      <c r="AD88" s="73" t="s">
        <v>682</v>
      </c>
      <c r="AE88" s="66" t="s">
        <v>683</v>
      </c>
      <c r="AF88" s="66" t="s">
        <v>677</v>
      </c>
      <c r="AG88" s="69"/>
      <c r="AH88" s="66" t="s">
        <v>671</v>
      </c>
      <c r="AI88" s="69"/>
      <c r="AJ88" s="69"/>
      <c r="AK88" s="73" t="s">
        <v>684</v>
      </c>
      <c r="AL88" s="73" t="s">
        <v>685</v>
      </c>
      <c r="AM88" s="69"/>
      <c r="AN88" s="66">
        <v>1</v>
      </c>
      <c r="AO88" s="66">
        <v>0</v>
      </c>
      <c r="AP88" s="66">
        <v>1</v>
      </c>
      <c r="AQ88" s="66">
        <v>1</v>
      </c>
      <c r="AR88" s="69"/>
      <c r="AS88" s="66">
        <v>0</v>
      </c>
      <c r="AT88" s="73" t="s">
        <v>686</v>
      </c>
    </row>
    <row r="89" s="60" customFormat="1" customHeight="1" spans="1:46">
      <c r="A89" s="69">
        <v>7065</v>
      </c>
      <c r="B89" s="73" t="s">
        <v>64</v>
      </c>
      <c r="C89" s="73" t="s">
        <v>544</v>
      </c>
      <c r="D89" s="69">
        <v>1</v>
      </c>
      <c r="E89" s="69">
        <v>3</v>
      </c>
      <c r="F89" s="69">
        <v>1</v>
      </c>
      <c r="G89" s="69">
        <v>200</v>
      </c>
      <c r="H89" s="69">
        <v>7064</v>
      </c>
      <c r="I89" s="69">
        <v>0</v>
      </c>
      <c r="J89" s="79">
        <v>63060</v>
      </c>
      <c r="K89" s="70" t="s">
        <v>667</v>
      </c>
      <c r="L89" s="79">
        <v>63054</v>
      </c>
      <c r="M89" s="71" t="s">
        <v>687</v>
      </c>
      <c r="N89" s="69"/>
      <c r="O89" s="79"/>
      <c r="P89" s="69"/>
      <c r="Q89" s="81"/>
      <c r="R89" s="69"/>
      <c r="S89" s="69">
        <v>1</v>
      </c>
      <c r="T89" s="69">
        <v>1</v>
      </c>
      <c r="U89" s="69"/>
      <c r="V89" s="69"/>
      <c r="W89" s="69"/>
      <c r="X89" s="89">
        <v>40000</v>
      </c>
      <c r="Y89" s="69"/>
      <c r="Z89" s="69"/>
      <c r="AA89" s="95">
        <v>50</v>
      </c>
      <c r="AB89" s="69"/>
      <c r="AC89" s="69"/>
      <c r="AD89" s="73" t="s">
        <v>688</v>
      </c>
      <c r="AE89" s="66" t="s">
        <v>689</v>
      </c>
      <c r="AF89" s="66" t="s">
        <v>690</v>
      </c>
      <c r="AG89" s="69"/>
      <c r="AH89" s="66" t="s">
        <v>549</v>
      </c>
      <c r="AI89" s="69"/>
      <c r="AJ89" s="69"/>
      <c r="AK89" s="73" t="s">
        <v>691</v>
      </c>
      <c r="AL89" s="73" t="s">
        <v>692</v>
      </c>
      <c r="AM89" s="69"/>
      <c r="AN89" s="66">
        <v>1</v>
      </c>
      <c r="AO89" s="66">
        <v>0</v>
      </c>
      <c r="AP89" s="66">
        <v>1</v>
      </c>
      <c r="AQ89" s="66">
        <v>1</v>
      </c>
      <c r="AR89" s="69"/>
      <c r="AS89" s="66">
        <v>0</v>
      </c>
      <c r="AT89" s="97" t="str">
        <f t="shared" ref="AT89" si="20">"{s_taskTalk,{"&amp;J89&amp;","&amp;L89&amp;"}}"</f>
        <v>{s_taskTalk,{63060,63054}}</v>
      </c>
    </row>
    <row r="90" s="60" customFormat="1" customHeight="1" spans="1:46">
      <c r="A90" s="69">
        <v>7047</v>
      </c>
      <c r="B90" s="69"/>
      <c r="C90" s="73" t="s">
        <v>693</v>
      </c>
      <c r="D90" s="69">
        <v>1</v>
      </c>
      <c r="E90" s="69">
        <v>2</v>
      </c>
      <c r="F90" s="69">
        <v>1</v>
      </c>
      <c r="G90" s="69">
        <v>200</v>
      </c>
      <c r="H90" s="69">
        <v>7065</v>
      </c>
      <c r="I90" s="69">
        <v>0</v>
      </c>
      <c r="J90" s="79">
        <v>63054</v>
      </c>
      <c r="K90" s="71" t="s">
        <v>687</v>
      </c>
      <c r="L90" s="79">
        <v>63054</v>
      </c>
      <c r="M90" s="71" t="s">
        <v>687</v>
      </c>
      <c r="N90" s="69"/>
      <c r="O90" s="69"/>
      <c r="P90" s="69"/>
      <c r="Q90" s="69"/>
      <c r="R90" s="69"/>
      <c r="S90" s="69">
        <v>1</v>
      </c>
      <c r="T90" s="69">
        <v>1</v>
      </c>
      <c r="U90" s="69"/>
      <c r="V90" s="69"/>
      <c r="W90" s="69"/>
      <c r="X90" s="89">
        <v>60000</v>
      </c>
      <c r="Y90" s="69"/>
      <c r="Z90" s="69"/>
      <c r="AA90" s="95">
        <v>50</v>
      </c>
      <c r="AB90" s="69"/>
      <c r="AC90" s="69"/>
      <c r="AD90" s="73" t="s">
        <v>694</v>
      </c>
      <c r="AE90" s="73" t="s">
        <v>695</v>
      </c>
      <c r="AF90" s="73" t="s">
        <v>696</v>
      </c>
      <c r="AG90" s="69"/>
      <c r="AH90" s="73" t="s">
        <v>697</v>
      </c>
      <c r="AI90" s="69"/>
      <c r="AJ90" s="69"/>
      <c r="AK90" s="73" t="s">
        <v>698</v>
      </c>
      <c r="AL90" s="73" t="s">
        <v>699</v>
      </c>
      <c r="AM90" s="69"/>
      <c r="AN90" s="69">
        <v>1</v>
      </c>
      <c r="AO90" s="69">
        <v>0</v>
      </c>
      <c r="AP90" s="69">
        <v>1</v>
      </c>
      <c r="AQ90" s="69">
        <v>1</v>
      </c>
      <c r="AR90" s="69">
        <v>0</v>
      </c>
      <c r="AS90" s="69">
        <v>0</v>
      </c>
      <c r="AT90" s="69" t="str">
        <f t="shared" si="14"/>
        <v>{s_taskTalk,{63054,63054}}</v>
      </c>
    </row>
    <row r="91" s="60" customFormat="1" customHeight="1" spans="1:46">
      <c r="A91" s="69">
        <v>7048</v>
      </c>
      <c r="B91" s="69"/>
      <c r="C91" s="73" t="s">
        <v>700</v>
      </c>
      <c r="D91" s="69">
        <v>1</v>
      </c>
      <c r="E91" s="69">
        <v>2</v>
      </c>
      <c r="F91" s="69">
        <v>1</v>
      </c>
      <c r="G91" s="69">
        <v>200</v>
      </c>
      <c r="H91" s="69">
        <v>7047</v>
      </c>
      <c r="I91" s="69">
        <v>0</v>
      </c>
      <c r="J91" s="79">
        <v>63054</v>
      </c>
      <c r="K91" s="71" t="s">
        <v>687</v>
      </c>
      <c r="L91" s="79">
        <v>63054</v>
      </c>
      <c r="M91" s="71" t="s">
        <v>687</v>
      </c>
      <c r="N91" s="69"/>
      <c r="O91" s="69"/>
      <c r="P91" s="69"/>
      <c r="Q91" s="81">
        <v>15598</v>
      </c>
      <c r="R91" s="69"/>
      <c r="S91" s="69">
        <v>15</v>
      </c>
      <c r="T91" s="69">
        <v>0</v>
      </c>
      <c r="U91" s="69"/>
      <c r="V91" s="69"/>
      <c r="W91" s="69"/>
      <c r="X91" s="89">
        <v>80000</v>
      </c>
      <c r="Y91" s="69"/>
      <c r="Z91" s="69"/>
      <c r="AA91" s="95">
        <v>50</v>
      </c>
      <c r="AB91" s="69"/>
      <c r="AC91" s="69"/>
      <c r="AD91" s="73" t="s">
        <v>701</v>
      </c>
      <c r="AE91" s="73" t="s">
        <v>702</v>
      </c>
      <c r="AF91" s="73" t="s">
        <v>703</v>
      </c>
      <c r="AG91" s="69"/>
      <c r="AH91" s="73" t="s">
        <v>704</v>
      </c>
      <c r="AI91" s="69"/>
      <c r="AJ91" s="69"/>
      <c r="AK91" s="73" t="s">
        <v>705</v>
      </c>
      <c r="AL91" s="73" t="s">
        <v>706</v>
      </c>
      <c r="AM91" s="69"/>
      <c r="AN91" s="69">
        <v>1</v>
      </c>
      <c r="AO91" s="69">
        <v>0</v>
      </c>
      <c r="AP91" s="69">
        <v>1</v>
      </c>
      <c r="AQ91" s="69">
        <v>1</v>
      </c>
      <c r="AR91" s="69">
        <v>0</v>
      </c>
      <c r="AS91" s="69">
        <v>0</v>
      </c>
      <c r="AT91" s="73" t="s">
        <v>707</v>
      </c>
    </row>
    <row r="92" s="60" customFormat="1" customHeight="1" spans="1:46">
      <c r="A92" s="69">
        <v>7049</v>
      </c>
      <c r="B92" s="69"/>
      <c r="C92" s="73" t="s">
        <v>708</v>
      </c>
      <c r="D92" s="69">
        <v>1</v>
      </c>
      <c r="E92" s="69">
        <v>2</v>
      </c>
      <c r="F92" s="69">
        <v>1</v>
      </c>
      <c r="G92" s="69">
        <v>200</v>
      </c>
      <c r="H92" s="69">
        <v>7048</v>
      </c>
      <c r="I92" s="69">
        <v>0</v>
      </c>
      <c r="J92" s="79">
        <v>63054</v>
      </c>
      <c r="K92" s="71" t="s">
        <v>687</v>
      </c>
      <c r="L92" s="79">
        <v>63054</v>
      </c>
      <c r="M92" s="71" t="s">
        <v>687</v>
      </c>
      <c r="N92" s="69"/>
      <c r="O92" s="69"/>
      <c r="P92" s="69"/>
      <c r="Q92" s="81"/>
      <c r="R92" s="69"/>
      <c r="S92" s="69">
        <v>1</v>
      </c>
      <c r="T92" s="69">
        <v>1</v>
      </c>
      <c r="U92" s="69"/>
      <c r="V92" s="69"/>
      <c r="W92" s="69"/>
      <c r="X92" s="89">
        <v>50000</v>
      </c>
      <c r="Y92" s="69"/>
      <c r="Z92" s="69"/>
      <c r="AA92" s="95">
        <v>50</v>
      </c>
      <c r="AB92" s="69"/>
      <c r="AC92" s="69"/>
      <c r="AD92" s="73" t="s">
        <v>709</v>
      </c>
      <c r="AE92" s="73" t="s">
        <v>710</v>
      </c>
      <c r="AF92" s="73" t="s">
        <v>711</v>
      </c>
      <c r="AG92" s="69"/>
      <c r="AH92" s="73" t="s">
        <v>697</v>
      </c>
      <c r="AI92" s="69"/>
      <c r="AJ92" s="69"/>
      <c r="AK92" s="73" t="s">
        <v>712</v>
      </c>
      <c r="AL92" s="73" t="s">
        <v>713</v>
      </c>
      <c r="AM92" s="69"/>
      <c r="AN92" s="69">
        <v>1</v>
      </c>
      <c r="AO92" s="69">
        <v>0</v>
      </c>
      <c r="AP92" s="69">
        <v>1</v>
      </c>
      <c r="AQ92" s="69">
        <v>1</v>
      </c>
      <c r="AR92" s="69">
        <v>0</v>
      </c>
      <c r="AS92" s="69">
        <v>0</v>
      </c>
      <c r="AT92" s="69" t="str">
        <f t="shared" si="14"/>
        <v>{s_taskTalk,{63054,63054}}</v>
      </c>
    </row>
    <row r="93" s="60" customFormat="1" customHeight="1" spans="1:46">
      <c r="A93" s="69">
        <v>7050</v>
      </c>
      <c r="B93" s="69"/>
      <c r="C93" s="73" t="s">
        <v>714</v>
      </c>
      <c r="D93" s="69">
        <v>1</v>
      </c>
      <c r="E93" s="69">
        <v>2</v>
      </c>
      <c r="F93" s="69">
        <v>1</v>
      </c>
      <c r="G93" s="69">
        <v>200</v>
      </c>
      <c r="H93" s="69">
        <v>7049</v>
      </c>
      <c r="I93" s="69">
        <v>0</v>
      </c>
      <c r="J93" s="79">
        <v>63054</v>
      </c>
      <c r="K93" s="71" t="s">
        <v>687</v>
      </c>
      <c r="L93" s="79">
        <v>63054</v>
      </c>
      <c r="M93" s="71" t="s">
        <v>687</v>
      </c>
      <c r="N93" s="69"/>
      <c r="O93" s="69"/>
      <c r="P93" s="69"/>
      <c r="Q93" s="81"/>
      <c r="R93" s="69"/>
      <c r="S93" s="69">
        <v>1</v>
      </c>
      <c r="T93" s="69">
        <v>1</v>
      </c>
      <c r="U93" s="69"/>
      <c r="V93" s="69"/>
      <c r="W93" s="69"/>
      <c r="X93" s="89">
        <v>50000</v>
      </c>
      <c r="Y93" s="69"/>
      <c r="Z93" s="69"/>
      <c r="AA93" s="95">
        <v>50</v>
      </c>
      <c r="AB93" s="69"/>
      <c r="AC93" s="69"/>
      <c r="AD93" s="73" t="s">
        <v>715</v>
      </c>
      <c r="AE93" s="66" t="s">
        <v>716</v>
      </c>
      <c r="AF93" s="66" t="s">
        <v>717</v>
      </c>
      <c r="AG93" s="69"/>
      <c r="AH93" s="73" t="s">
        <v>697</v>
      </c>
      <c r="AI93" s="69"/>
      <c r="AJ93" s="69"/>
      <c r="AK93" s="73" t="s">
        <v>718</v>
      </c>
      <c r="AL93" s="73" t="s">
        <v>719</v>
      </c>
      <c r="AM93" s="69"/>
      <c r="AN93" s="66">
        <v>1</v>
      </c>
      <c r="AO93" s="66">
        <v>0</v>
      </c>
      <c r="AP93" s="66">
        <v>1</v>
      </c>
      <c r="AQ93" s="66">
        <v>1</v>
      </c>
      <c r="AR93" s="69"/>
      <c r="AS93" s="66">
        <v>0</v>
      </c>
      <c r="AT93" s="97" t="str">
        <f t="shared" si="14"/>
        <v>{s_taskTalk,{63054,63054}}</v>
      </c>
    </row>
    <row r="94" s="60" customFormat="1" customHeight="1" spans="1:46">
      <c r="A94" s="69">
        <v>7051</v>
      </c>
      <c r="B94" s="73" t="s">
        <v>720</v>
      </c>
      <c r="C94" s="73" t="s">
        <v>721</v>
      </c>
      <c r="D94" s="69">
        <v>1</v>
      </c>
      <c r="E94" s="69">
        <v>2</v>
      </c>
      <c r="F94" s="69">
        <v>1</v>
      </c>
      <c r="G94" s="69">
        <v>200</v>
      </c>
      <c r="H94" s="69">
        <v>7050</v>
      </c>
      <c r="I94" s="69">
        <v>0</v>
      </c>
      <c r="J94" s="79">
        <v>63054</v>
      </c>
      <c r="K94" s="71" t="s">
        <v>687</v>
      </c>
      <c r="L94" s="79">
        <v>63054</v>
      </c>
      <c r="M94" s="71" t="s">
        <v>687</v>
      </c>
      <c r="N94" s="69"/>
      <c r="O94" s="69"/>
      <c r="P94" s="69"/>
      <c r="Q94" s="81"/>
      <c r="R94" s="69"/>
      <c r="S94" s="69">
        <v>1</v>
      </c>
      <c r="T94" s="69">
        <v>0</v>
      </c>
      <c r="U94" s="69"/>
      <c r="V94" s="69"/>
      <c r="W94" s="69"/>
      <c r="X94" s="89">
        <v>60000</v>
      </c>
      <c r="Y94" s="69"/>
      <c r="Z94" s="69"/>
      <c r="AA94" s="95">
        <v>50</v>
      </c>
      <c r="AB94" s="69"/>
      <c r="AC94" s="69"/>
      <c r="AD94" s="73" t="s">
        <v>722</v>
      </c>
      <c r="AE94" s="66" t="s">
        <v>723</v>
      </c>
      <c r="AF94" s="66" t="s">
        <v>724</v>
      </c>
      <c r="AG94" s="69"/>
      <c r="AH94" s="66" t="s">
        <v>725</v>
      </c>
      <c r="AI94" s="69"/>
      <c r="AJ94" s="69"/>
      <c r="AK94" s="75" t="s">
        <v>726</v>
      </c>
      <c r="AL94" s="73" t="s">
        <v>727</v>
      </c>
      <c r="AM94" s="69"/>
      <c r="AN94" s="66">
        <v>1</v>
      </c>
      <c r="AO94" s="66">
        <v>0</v>
      </c>
      <c r="AP94" s="66">
        <v>1</v>
      </c>
      <c r="AQ94" s="66">
        <v>1</v>
      </c>
      <c r="AR94" s="69"/>
      <c r="AS94" s="66">
        <v>0</v>
      </c>
      <c r="AT94" s="97" t="str">
        <f t="shared" si="14"/>
        <v>{s_taskTalk,{63054,63054}}</v>
      </c>
    </row>
    <row r="95" s="60" customFormat="1" customHeight="1" spans="1:46">
      <c r="A95" s="69">
        <v>7052</v>
      </c>
      <c r="B95" s="73" t="s">
        <v>64</v>
      </c>
      <c r="C95" s="73" t="s">
        <v>728</v>
      </c>
      <c r="D95" s="69">
        <v>1</v>
      </c>
      <c r="E95" s="69">
        <v>2</v>
      </c>
      <c r="F95" s="69">
        <v>1</v>
      </c>
      <c r="G95" s="69">
        <v>200</v>
      </c>
      <c r="H95" s="69">
        <v>7051</v>
      </c>
      <c r="I95" s="69">
        <v>0</v>
      </c>
      <c r="J95" s="79">
        <v>63054</v>
      </c>
      <c r="K95" s="71" t="s">
        <v>687</v>
      </c>
      <c r="L95" s="79">
        <v>63054</v>
      </c>
      <c r="M95" s="71" t="s">
        <v>687</v>
      </c>
      <c r="N95" s="69"/>
      <c r="O95" s="69"/>
      <c r="P95" s="69"/>
      <c r="Q95" s="81"/>
      <c r="R95" s="69"/>
      <c r="S95" s="69">
        <v>1</v>
      </c>
      <c r="T95" s="69">
        <v>1</v>
      </c>
      <c r="U95" s="69"/>
      <c r="V95" s="69"/>
      <c r="W95" s="69"/>
      <c r="X95" s="89">
        <v>80000</v>
      </c>
      <c r="Y95" s="69"/>
      <c r="Z95" s="69"/>
      <c r="AA95" s="95">
        <v>50</v>
      </c>
      <c r="AB95" s="69"/>
      <c r="AC95" s="69"/>
      <c r="AD95" s="73" t="s">
        <v>729</v>
      </c>
      <c r="AE95" s="66" t="s">
        <v>730</v>
      </c>
      <c r="AF95" s="66" t="s">
        <v>731</v>
      </c>
      <c r="AG95" s="69"/>
      <c r="AH95" s="66" t="s">
        <v>732</v>
      </c>
      <c r="AI95" s="69"/>
      <c r="AJ95" s="69"/>
      <c r="AK95" s="73" t="s">
        <v>733</v>
      </c>
      <c r="AL95" s="73" t="s">
        <v>734</v>
      </c>
      <c r="AM95" s="69"/>
      <c r="AN95" s="66">
        <v>1</v>
      </c>
      <c r="AO95" s="66">
        <v>0</v>
      </c>
      <c r="AP95" s="66">
        <v>1</v>
      </c>
      <c r="AQ95" s="66">
        <v>1</v>
      </c>
      <c r="AR95" s="69"/>
      <c r="AS95" s="66">
        <v>0</v>
      </c>
      <c r="AT95" s="97" t="str">
        <f t="shared" si="14"/>
        <v>{s_taskTalk,{63054,63054}}</v>
      </c>
    </row>
    <row r="96" s="62" customFormat="1" customHeight="1" spans="1:45">
      <c r="A96" s="65">
        <v>40001</v>
      </c>
      <c r="B96" s="65"/>
      <c r="C96" s="65" t="s">
        <v>735</v>
      </c>
      <c r="D96" s="62">
        <v>5</v>
      </c>
      <c r="E96" s="62">
        <v>1</v>
      </c>
      <c r="F96" s="62">
        <v>41</v>
      </c>
      <c r="G96" s="62">
        <v>200</v>
      </c>
      <c r="I96" s="62">
        <v>0</v>
      </c>
      <c r="J96" s="98"/>
      <c r="K96" s="99"/>
      <c r="L96" s="99"/>
      <c r="M96" s="99"/>
      <c r="N96" s="99"/>
      <c r="O96" s="100"/>
      <c r="P96" s="100"/>
      <c r="Q96" s="100"/>
      <c r="R96" s="101"/>
      <c r="X96" s="102">
        <v>0</v>
      </c>
      <c r="Z96" s="103"/>
      <c r="AA96" s="103"/>
      <c r="AD96" s="62" t="s">
        <v>736</v>
      </c>
      <c r="AN96" s="62">
        <v>0</v>
      </c>
      <c r="AS96" s="62">
        <v>0</v>
      </c>
    </row>
    <row r="97" s="62" customFormat="1" customHeight="1" spans="1:45">
      <c r="A97" s="65">
        <v>40002</v>
      </c>
      <c r="B97" s="65"/>
      <c r="C97" s="65" t="s">
        <v>737</v>
      </c>
      <c r="D97" s="62">
        <v>5</v>
      </c>
      <c r="E97" s="62">
        <v>1</v>
      </c>
      <c r="F97" s="62">
        <v>41</v>
      </c>
      <c r="G97" s="62">
        <v>200</v>
      </c>
      <c r="I97" s="62">
        <v>0</v>
      </c>
      <c r="J97" s="98"/>
      <c r="K97" s="99"/>
      <c r="L97" s="99"/>
      <c r="M97" s="99"/>
      <c r="N97" s="99"/>
      <c r="O97" s="100"/>
      <c r="P97" s="100"/>
      <c r="Q97" s="100"/>
      <c r="R97" s="101"/>
      <c r="X97" s="102">
        <v>0</v>
      </c>
      <c r="Z97" s="103"/>
      <c r="AA97" s="103"/>
      <c r="AD97" s="62" t="s">
        <v>736</v>
      </c>
      <c r="AN97" s="62">
        <v>0</v>
      </c>
      <c r="AS97" s="62">
        <v>0</v>
      </c>
    </row>
    <row r="98" s="62" customFormat="1" customHeight="1" spans="1:45">
      <c r="A98" s="65">
        <v>40003</v>
      </c>
      <c r="B98" s="65"/>
      <c r="C98" s="65" t="s">
        <v>738</v>
      </c>
      <c r="D98" s="62">
        <v>5</v>
      </c>
      <c r="E98" s="62">
        <v>1</v>
      </c>
      <c r="F98" s="62">
        <v>41</v>
      </c>
      <c r="G98" s="62">
        <v>200</v>
      </c>
      <c r="I98" s="62">
        <v>0</v>
      </c>
      <c r="J98" s="98"/>
      <c r="K98" s="99"/>
      <c r="L98" s="99"/>
      <c r="M98" s="99"/>
      <c r="N98" s="99"/>
      <c r="O98" s="100"/>
      <c r="P98" s="100"/>
      <c r="Q98" s="100"/>
      <c r="R98" s="101"/>
      <c r="X98" s="102">
        <v>0</v>
      </c>
      <c r="Z98" s="103"/>
      <c r="AA98" s="103"/>
      <c r="AD98" s="62" t="s">
        <v>736</v>
      </c>
      <c r="AN98" s="62">
        <v>0</v>
      </c>
      <c r="AS98" s="62">
        <v>0</v>
      </c>
    </row>
    <row r="99" s="62" customFormat="1" customHeight="1" spans="1:45">
      <c r="A99" s="65">
        <v>40004</v>
      </c>
      <c r="B99" s="65"/>
      <c r="C99" s="65" t="s">
        <v>739</v>
      </c>
      <c r="D99" s="62">
        <v>5</v>
      </c>
      <c r="E99" s="62">
        <v>1</v>
      </c>
      <c r="F99" s="62">
        <v>41</v>
      </c>
      <c r="G99" s="62">
        <v>200</v>
      </c>
      <c r="I99" s="62">
        <v>0</v>
      </c>
      <c r="J99" s="98"/>
      <c r="K99" s="99"/>
      <c r="L99" s="99"/>
      <c r="M99" s="99"/>
      <c r="N99" s="99"/>
      <c r="O99" s="100"/>
      <c r="P99" s="100"/>
      <c r="Q99" s="100"/>
      <c r="R99" s="101"/>
      <c r="X99" s="102">
        <v>0</v>
      </c>
      <c r="Z99" s="103"/>
      <c r="AA99" s="103"/>
      <c r="AD99" s="62" t="s">
        <v>736</v>
      </c>
      <c r="AN99" s="62">
        <v>0</v>
      </c>
      <c r="AS99" s="62">
        <v>0</v>
      </c>
    </row>
    <row r="100" s="62" customFormat="1" customHeight="1" spans="1:45">
      <c r="A100" s="65">
        <v>40005</v>
      </c>
      <c r="B100" s="65"/>
      <c r="C100" s="65" t="s">
        <v>740</v>
      </c>
      <c r="D100" s="62">
        <v>5</v>
      </c>
      <c r="E100" s="62">
        <v>1</v>
      </c>
      <c r="F100" s="62">
        <v>41</v>
      </c>
      <c r="G100" s="62">
        <v>200</v>
      </c>
      <c r="I100" s="62">
        <v>0</v>
      </c>
      <c r="J100" s="98"/>
      <c r="K100" s="99"/>
      <c r="L100" s="99"/>
      <c r="M100" s="99"/>
      <c r="N100" s="99"/>
      <c r="O100" s="100"/>
      <c r="P100" s="100"/>
      <c r="Q100" s="100"/>
      <c r="R100" s="101"/>
      <c r="X100" s="102">
        <v>0</v>
      </c>
      <c r="Z100" s="103"/>
      <c r="AA100" s="103"/>
      <c r="AD100" s="62" t="s">
        <v>736</v>
      </c>
      <c r="AN100" s="62">
        <v>0</v>
      </c>
      <c r="AS100" s="62">
        <v>0</v>
      </c>
    </row>
    <row r="101" s="62" customFormat="1" customHeight="1" spans="1:45">
      <c r="A101" s="65">
        <v>40006</v>
      </c>
      <c r="B101" s="65"/>
      <c r="C101" s="65" t="s">
        <v>741</v>
      </c>
      <c r="D101" s="62">
        <v>5</v>
      </c>
      <c r="E101" s="62">
        <v>1</v>
      </c>
      <c r="F101" s="62">
        <v>41</v>
      </c>
      <c r="G101" s="62">
        <v>200</v>
      </c>
      <c r="I101" s="62">
        <v>0</v>
      </c>
      <c r="J101" s="98"/>
      <c r="K101" s="99"/>
      <c r="L101" s="99"/>
      <c r="M101" s="99"/>
      <c r="N101" s="99"/>
      <c r="O101" s="100"/>
      <c r="P101" s="100"/>
      <c r="Q101" s="100"/>
      <c r="R101" s="101"/>
      <c r="X101" s="102">
        <v>0</v>
      </c>
      <c r="Z101" s="103"/>
      <c r="AA101" s="103"/>
      <c r="AD101" s="62" t="s">
        <v>736</v>
      </c>
      <c r="AN101" s="62">
        <v>0</v>
      </c>
      <c r="AS101" s="62">
        <v>0</v>
      </c>
    </row>
    <row r="102" s="62" customFormat="1" customHeight="1" spans="1:45">
      <c r="A102" s="65">
        <v>40007</v>
      </c>
      <c r="B102" s="65"/>
      <c r="C102" s="65" t="s">
        <v>742</v>
      </c>
      <c r="D102" s="62">
        <v>5</v>
      </c>
      <c r="E102" s="62">
        <v>1</v>
      </c>
      <c r="F102" s="62">
        <v>41</v>
      </c>
      <c r="G102" s="62">
        <v>200</v>
      </c>
      <c r="I102" s="62">
        <v>0</v>
      </c>
      <c r="J102" s="98"/>
      <c r="K102" s="99"/>
      <c r="L102" s="99"/>
      <c r="M102" s="99"/>
      <c r="N102" s="99"/>
      <c r="O102" s="100"/>
      <c r="P102" s="100"/>
      <c r="Q102" s="100"/>
      <c r="R102" s="101"/>
      <c r="X102" s="102">
        <v>0</v>
      </c>
      <c r="Z102" s="103"/>
      <c r="AA102" s="103"/>
      <c r="AD102" s="62" t="s">
        <v>736</v>
      </c>
      <c r="AN102" s="62">
        <v>0</v>
      </c>
      <c r="AS102" s="62">
        <v>0</v>
      </c>
    </row>
    <row r="103" s="62" customFormat="1" customHeight="1" spans="1:45">
      <c r="A103" s="65">
        <v>40008</v>
      </c>
      <c r="B103" s="65"/>
      <c r="C103" s="65" t="s">
        <v>743</v>
      </c>
      <c r="D103" s="62">
        <v>5</v>
      </c>
      <c r="E103" s="62">
        <v>1</v>
      </c>
      <c r="F103" s="62">
        <v>41</v>
      </c>
      <c r="G103" s="62">
        <v>200</v>
      </c>
      <c r="I103" s="62">
        <v>0</v>
      </c>
      <c r="J103" s="98"/>
      <c r="K103" s="99"/>
      <c r="L103" s="99"/>
      <c r="M103" s="99"/>
      <c r="N103" s="99"/>
      <c r="O103" s="100"/>
      <c r="P103" s="100"/>
      <c r="Q103" s="100"/>
      <c r="R103" s="101"/>
      <c r="X103" s="102">
        <v>0</v>
      </c>
      <c r="Z103" s="103"/>
      <c r="AA103" s="103"/>
      <c r="AD103" s="62" t="s">
        <v>736</v>
      </c>
      <c r="AN103" s="62">
        <v>0</v>
      </c>
      <c r="AS103" s="62">
        <v>0</v>
      </c>
    </row>
    <row r="104" s="62" customFormat="1" customHeight="1" spans="1:45">
      <c r="A104" s="65">
        <v>40009</v>
      </c>
      <c r="B104" s="65"/>
      <c r="C104" s="65" t="s">
        <v>744</v>
      </c>
      <c r="D104" s="62">
        <v>5</v>
      </c>
      <c r="E104" s="62">
        <v>1</v>
      </c>
      <c r="F104" s="62">
        <v>41</v>
      </c>
      <c r="G104" s="62">
        <v>200</v>
      </c>
      <c r="I104" s="62">
        <v>0</v>
      </c>
      <c r="J104" s="98"/>
      <c r="K104" s="99"/>
      <c r="L104" s="99"/>
      <c r="M104" s="99"/>
      <c r="N104" s="99"/>
      <c r="O104" s="100"/>
      <c r="P104" s="100"/>
      <c r="Q104" s="100"/>
      <c r="R104" s="101"/>
      <c r="X104" s="102">
        <v>0</v>
      </c>
      <c r="Z104" s="103"/>
      <c r="AA104" s="103"/>
      <c r="AD104" s="62" t="s">
        <v>736</v>
      </c>
      <c r="AN104" s="62">
        <v>0</v>
      </c>
      <c r="AS104" s="62">
        <v>0</v>
      </c>
    </row>
    <row r="105" s="62" customFormat="1" customHeight="1" spans="1:45">
      <c r="A105" s="65">
        <v>40010</v>
      </c>
      <c r="B105" s="65"/>
      <c r="C105" s="65" t="s">
        <v>745</v>
      </c>
      <c r="D105" s="62">
        <v>5</v>
      </c>
      <c r="E105" s="62">
        <v>1</v>
      </c>
      <c r="F105" s="62">
        <v>41</v>
      </c>
      <c r="G105" s="62">
        <v>200</v>
      </c>
      <c r="I105" s="62">
        <v>0</v>
      </c>
      <c r="J105" s="98"/>
      <c r="K105" s="99"/>
      <c r="L105" s="99"/>
      <c r="M105" s="99"/>
      <c r="N105" s="99"/>
      <c r="O105" s="100"/>
      <c r="P105" s="100"/>
      <c r="Q105" s="100"/>
      <c r="R105" s="101"/>
      <c r="X105" s="102">
        <v>0</v>
      </c>
      <c r="Z105" s="103"/>
      <c r="AA105" s="103"/>
      <c r="AD105" s="62" t="s">
        <v>736</v>
      </c>
      <c r="AN105" s="62">
        <v>0</v>
      </c>
      <c r="AS105" s="62">
        <v>0</v>
      </c>
    </row>
    <row r="106" s="62" customFormat="1" customHeight="1" spans="1:45">
      <c r="A106" s="65">
        <v>40011</v>
      </c>
      <c r="B106" s="65"/>
      <c r="C106" s="65" t="s">
        <v>746</v>
      </c>
      <c r="D106" s="62">
        <v>5</v>
      </c>
      <c r="E106" s="62">
        <v>1</v>
      </c>
      <c r="F106" s="62">
        <v>41</v>
      </c>
      <c r="G106" s="62">
        <v>200</v>
      </c>
      <c r="I106" s="62">
        <v>0</v>
      </c>
      <c r="J106" s="98"/>
      <c r="K106" s="99"/>
      <c r="L106" s="99"/>
      <c r="M106" s="99"/>
      <c r="N106" s="99"/>
      <c r="O106" s="100"/>
      <c r="P106" s="100"/>
      <c r="Q106" s="100"/>
      <c r="R106" s="101"/>
      <c r="X106" s="102">
        <v>0</v>
      </c>
      <c r="Z106" s="103"/>
      <c r="AA106" s="103"/>
      <c r="AD106" s="62" t="s">
        <v>736</v>
      </c>
      <c r="AN106" s="62">
        <v>0</v>
      </c>
      <c r="AS106" s="62">
        <v>1</v>
      </c>
    </row>
    <row r="107" s="62" customFormat="1" customHeight="1" spans="1:45">
      <c r="A107" s="65">
        <v>40012</v>
      </c>
      <c r="B107" s="65"/>
      <c r="C107" s="65" t="s">
        <v>747</v>
      </c>
      <c r="D107" s="62">
        <v>5</v>
      </c>
      <c r="E107" s="62">
        <v>1</v>
      </c>
      <c r="F107" s="62">
        <v>61</v>
      </c>
      <c r="G107" s="62">
        <v>200</v>
      </c>
      <c r="I107" s="62">
        <v>0</v>
      </c>
      <c r="J107" s="98"/>
      <c r="K107" s="99"/>
      <c r="L107" s="99"/>
      <c r="M107" s="99"/>
      <c r="N107" s="99"/>
      <c r="O107" s="100"/>
      <c r="P107" s="100"/>
      <c r="Q107" s="100"/>
      <c r="R107" s="101"/>
      <c r="X107" s="102">
        <v>0</v>
      </c>
      <c r="Z107" s="103"/>
      <c r="AA107" s="103"/>
      <c r="AD107" s="62" t="s">
        <v>736</v>
      </c>
      <c r="AN107" s="62">
        <v>0</v>
      </c>
      <c r="AS107" s="62">
        <v>0</v>
      </c>
    </row>
    <row r="108" s="62" customFormat="1" customHeight="1" spans="1:45">
      <c r="A108" s="65">
        <v>40013</v>
      </c>
      <c r="B108" s="65"/>
      <c r="C108" s="65" t="s">
        <v>748</v>
      </c>
      <c r="D108" s="62">
        <v>5</v>
      </c>
      <c r="E108" s="62">
        <v>1</v>
      </c>
      <c r="F108" s="62">
        <v>41</v>
      </c>
      <c r="G108" s="62">
        <v>200</v>
      </c>
      <c r="I108" s="62">
        <v>0</v>
      </c>
      <c r="J108" s="98"/>
      <c r="K108" s="99"/>
      <c r="L108" s="99"/>
      <c r="M108" s="99"/>
      <c r="N108" s="99"/>
      <c r="O108" s="100"/>
      <c r="P108" s="100"/>
      <c r="Q108" s="100"/>
      <c r="R108" s="101"/>
      <c r="X108" s="102">
        <v>0</v>
      </c>
      <c r="Z108" s="103"/>
      <c r="AA108" s="103"/>
      <c r="AD108" s="62" t="s">
        <v>736</v>
      </c>
      <c r="AN108" s="62">
        <v>0</v>
      </c>
      <c r="AS108" s="62">
        <v>1</v>
      </c>
    </row>
    <row r="109" s="62" customFormat="1" customHeight="1" spans="1:45">
      <c r="A109" s="65">
        <v>40014</v>
      </c>
      <c r="B109" s="65"/>
      <c r="C109" s="65" t="s">
        <v>749</v>
      </c>
      <c r="D109" s="62">
        <v>5</v>
      </c>
      <c r="E109" s="62">
        <v>1</v>
      </c>
      <c r="F109" s="62">
        <v>41</v>
      </c>
      <c r="G109" s="62">
        <v>200</v>
      </c>
      <c r="I109" s="62">
        <v>0</v>
      </c>
      <c r="J109" s="98"/>
      <c r="K109" s="99"/>
      <c r="L109" s="99"/>
      <c r="M109" s="99"/>
      <c r="N109" s="99"/>
      <c r="O109" s="100"/>
      <c r="P109" s="100"/>
      <c r="Q109" s="100"/>
      <c r="R109" s="101"/>
      <c r="X109" s="102">
        <v>0</v>
      </c>
      <c r="Z109" s="103"/>
      <c r="AA109" s="103"/>
      <c r="AD109" s="62" t="s">
        <v>736</v>
      </c>
      <c r="AN109" s="62">
        <v>0</v>
      </c>
      <c r="AS109" s="62">
        <v>1</v>
      </c>
    </row>
    <row r="110" s="62" customFormat="1" customHeight="1" spans="1:45">
      <c r="A110" s="65">
        <v>41001</v>
      </c>
      <c r="B110" s="65"/>
      <c r="C110" s="65" t="s">
        <v>750</v>
      </c>
      <c r="D110" s="62">
        <v>5</v>
      </c>
      <c r="E110" s="62">
        <v>1</v>
      </c>
      <c r="F110" s="62">
        <v>41</v>
      </c>
      <c r="G110" s="62">
        <v>200</v>
      </c>
      <c r="I110" s="62">
        <v>0</v>
      </c>
      <c r="J110" s="98"/>
      <c r="K110" s="99"/>
      <c r="L110" s="99"/>
      <c r="M110" s="99"/>
      <c r="N110" s="99"/>
      <c r="O110" s="100"/>
      <c r="P110" s="100"/>
      <c r="Q110" s="100"/>
      <c r="R110" s="101"/>
      <c r="X110" s="102">
        <v>0</v>
      </c>
      <c r="Z110" s="103"/>
      <c r="AA110" s="103"/>
      <c r="AD110" s="62" t="s">
        <v>736</v>
      </c>
      <c r="AN110" s="62">
        <v>0</v>
      </c>
      <c r="AS110" s="62">
        <v>0</v>
      </c>
    </row>
    <row r="111" s="62" customFormat="1" customHeight="1" spans="1:45">
      <c r="A111" s="65">
        <v>41002</v>
      </c>
      <c r="B111" s="65"/>
      <c r="C111" s="65" t="s">
        <v>751</v>
      </c>
      <c r="D111" s="62">
        <v>5</v>
      </c>
      <c r="E111" s="62">
        <v>1</v>
      </c>
      <c r="F111" s="62">
        <v>41</v>
      </c>
      <c r="G111" s="62">
        <v>200</v>
      </c>
      <c r="I111" s="62">
        <v>0</v>
      </c>
      <c r="J111" s="98"/>
      <c r="K111" s="99"/>
      <c r="L111" s="99"/>
      <c r="M111" s="99"/>
      <c r="N111" s="99"/>
      <c r="O111" s="100"/>
      <c r="P111" s="100"/>
      <c r="Q111" s="100"/>
      <c r="R111" s="101"/>
      <c r="X111" s="102">
        <v>0</v>
      </c>
      <c r="Z111" s="103"/>
      <c r="AA111" s="103"/>
      <c r="AD111" s="62" t="s">
        <v>736</v>
      </c>
      <c r="AN111" s="62">
        <v>0</v>
      </c>
      <c r="AS111" s="62">
        <v>0</v>
      </c>
    </row>
    <row r="112" s="62" customFormat="1" customHeight="1" spans="1:45">
      <c r="A112" s="65">
        <v>41003</v>
      </c>
      <c r="B112" s="65"/>
      <c r="C112" s="65" t="s">
        <v>752</v>
      </c>
      <c r="D112" s="62">
        <v>5</v>
      </c>
      <c r="E112" s="62">
        <v>1</v>
      </c>
      <c r="F112" s="62">
        <v>41</v>
      </c>
      <c r="G112" s="62">
        <v>200</v>
      </c>
      <c r="I112" s="62">
        <v>0</v>
      </c>
      <c r="J112" s="98"/>
      <c r="K112" s="99"/>
      <c r="L112" s="99"/>
      <c r="M112" s="99"/>
      <c r="N112" s="99"/>
      <c r="O112" s="100"/>
      <c r="P112" s="100"/>
      <c r="Q112" s="100"/>
      <c r="R112" s="101"/>
      <c r="X112" s="102">
        <v>0</v>
      </c>
      <c r="Z112" s="103"/>
      <c r="AA112" s="103"/>
      <c r="AD112" s="62" t="s">
        <v>736</v>
      </c>
      <c r="AN112" s="62">
        <v>0</v>
      </c>
      <c r="AS112" s="62">
        <v>0</v>
      </c>
    </row>
    <row r="113" s="62" customFormat="1" customHeight="1" spans="1:45">
      <c r="A113" s="65">
        <v>41004</v>
      </c>
      <c r="B113" s="65"/>
      <c r="C113" s="65" t="s">
        <v>753</v>
      </c>
      <c r="D113" s="62">
        <v>5</v>
      </c>
      <c r="E113" s="62">
        <v>1</v>
      </c>
      <c r="F113" s="62">
        <v>41</v>
      </c>
      <c r="G113" s="62">
        <v>200</v>
      </c>
      <c r="I113" s="62">
        <v>0</v>
      </c>
      <c r="J113" s="98"/>
      <c r="K113" s="99"/>
      <c r="L113" s="99"/>
      <c r="M113" s="99"/>
      <c r="N113" s="99"/>
      <c r="O113" s="100"/>
      <c r="P113" s="100"/>
      <c r="Q113" s="100"/>
      <c r="R113" s="101"/>
      <c r="X113" s="102">
        <v>0</v>
      </c>
      <c r="Z113" s="103"/>
      <c r="AA113" s="103"/>
      <c r="AD113" s="62" t="s">
        <v>736</v>
      </c>
      <c r="AN113" s="62">
        <v>0</v>
      </c>
      <c r="AS113" s="62">
        <v>0</v>
      </c>
    </row>
    <row r="114" s="62" customFormat="1" customHeight="1" spans="1:45">
      <c r="A114" s="65">
        <v>41005</v>
      </c>
      <c r="B114" s="65"/>
      <c r="C114" s="65" t="s">
        <v>754</v>
      </c>
      <c r="D114" s="62">
        <v>5</v>
      </c>
      <c r="E114" s="62">
        <v>1</v>
      </c>
      <c r="F114" s="62">
        <v>41</v>
      </c>
      <c r="G114" s="62">
        <v>200</v>
      </c>
      <c r="I114" s="62">
        <v>0</v>
      </c>
      <c r="J114" s="98"/>
      <c r="K114" s="99"/>
      <c r="L114" s="99"/>
      <c r="M114" s="99"/>
      <c r="N114" s="99"/>
      <c r="O114" s="100"/>
      <c r="P114" s="100"/>
      <c r="Q114" s="100"/>
      <c r="R114" s="101"/>
      <c r="X114" s="102">
        <v>0</v>
      </c>
      <c r="Z114" s="103"/>
      <c r="AA114" s="103"/>
      <c r="AD114" s="62" t="s">
        <v>736</v>
      </c>
      <c r="AN114" s="62">
        <v>0</v>
      </c>
      <c r="AS114" s="62">
        <v>0</v>
      </c>
    </row>
    <row r="115" s="62" customFormat="1" customHeight="1" spans="1:45">
      <c r="A115" s="65">
        <v>41006</v>
      </c>
      <c r="B115" s="65"/>
      <c r="C115" s="65" t="s">
        <v>755</v>
      </c>
      <c r="D115" s="62">
        <v>5</v>
      </c>
      <c r="E115" s="62">
        <v>1</v>
      </c>
      <c r="F115" s="62">
        <v>41</v>
      </c>
      <c r="G115" s="62">
        <v>200</v>
      </c>
      <c r="I115" s="62">
        <v>0</v>
      </c>
      <c r="J115" s="98"/>
      <c r="K115" s="99"/>
      <c r="L115" s="99"/>
      <c r="M115" s="99"/>
      <c r="N115" s="99"/>
      <c r="O115" s="100"/>
      <c r="P115" s="100"/>
      <c r="Q115" s="100"/>
      <c r="R115" s="101"/>
      <c r="X115" s="102">
        <v>0</v>
      </c>
      <c r="Z115" s="103"/>
      <c r="AA115" s="103"/>
      <c r="AD115" s="62" t="s">
        <v>736</v>
      </c>
      <c r="AN115" s="62">
        <v>0</v>
      </c>
      <c r="AS115" s="62">
        <v>0</v>
      </c>
    </row>
    <row r="116" s="62" customFormat="1" customHeight="1" spans="1:45">
      <c r="A116" s="65">
        <v>41007</v>
      </c>
      <c r="B116" s="65"/>
      <c r="C116" s="65" t="s">
        <v>756</v>
      </c>
      <c r="D116" s="62">
        <v>5</v>
      </c>
      <c r="E116" s="62">
        <v>1</v>
      </c>
      <c r="F116" s="62">
        <v>41</v>
      </c>
      <c r="G116" s="62">
        <v>200</v>
      </c>
      <c r="I116" s="62">
        <v>0</v>
      </c>
      <c r="J116" s="98"/>
      <c r="K116" s="99"/>
      <c r="L116" s="99"/>
      <c r="M116" s="99"/>
      <c r="N116" s="99"/>
      <c r="O116" s="100"/>
      <c r="P116" s="100"/>
      <c r="Q116" s="100"/>
      <c r="R116" s="101"/>
      <c r="X116" s="102">
        <v>0</v>
      </c>
      <c r="Z116" s="103"/>
      <c r="AA116" s="103"/>
      <c r="AD116" s="62" t="s">
        <v>736</v>
      </c>
      <c r="AN116" s="62">
        <v>0</v>
      </c>
      <c r="AS116" s="62">
        <v>0</v>
      </c>
    </row>
    <row r="117" s="62" customFormat="1" customHeight="1" spans="1:45">
      <c r="A117" s="65">
        <v>41008</v>
      </c>
      <c r="B117" s="65"/>
      <c r="C117" s="65" t="s">
        <v>757</v>
      </c>
      <c r="D117" s="62">
        <v>5</v>
      </c>
      <c r="E117" s="62">
        <v>1</v>
      </c>
      <c r="F117" s="62">
        <v>41</v>
      </c>
      <c r="G117" s="62">
        <v>200</v>
      </c>
      <c r="I117" s="62">
        <v>0</v>
      </c>
      <c r="J117" s="98"/>
      <c r="K117" s="99"/>
      <c r="L117" s="99"/>
      <c r="M117" s="99"/>
      <c r="N117" s="99"/>
      <c r="O117" s="100"/>
      <c r="P117" s="100"/>
      <c r="Q117" s="100"/>
      <c r="R117" s="101"/>
      <c r="X117" s="102">
        <v>0</v>
      </c>
      <c r="Z117" s="103"/>
      <c r="AA117" s="103"/>
      <c r="AD117" s="62" t="s">
        <v>736</v>
      </c>
      <c r="AN117" s="62">
        <v>0</v>
      </c>
      <c r="AS117" s="62">
        <v>1</v>
      </c>
    </row>
    <row r="118" s="62" customFormat="1" customHeight="1" spans="1:45">
      <c r="A118" s="65">
        <v>41009</v>
      </c>
      <c r="B118" s="65"/>
      <c r="C118" s="65" t="s">
        <v>758</v>
      </c>
      <c r="D118" s="62">
        <v>5</v>
      </c>
      <c r="E118" s="62">
        <v>1</v>
      </c>
      <c r="F118" s="62">
        <v>41</v>
      </c>
      <c r="G118" s="62">
        <v>200</v>
      </c>
      <c r="I118" s="62">
        <v>0</v>
      </c>
      <c r="J118" s="98"/>
      <c r="K118" s="99"/>
      <c r="L118" s="99"/>
      <c r="M118" s="99"/>
      <c r="N118" s="99"/>
      <c r="O118" s="100"/>
      <c r="P118" s="100"/>
      <c r="Q118" s="100"/>
      <c r="R118" s="101"/>
      <c r="X118" s="102">
        <v>0</v>
      </c>
      <c r="Z118" s="103"/>
      <c r="AA118" s="103"/>
      <c r="AD118" s="62" t="s">
        <v>736</v>
      </c>
      <c r="AN118" s="62">
        <v>0</v>
      </c>
      <c r="AS118" s="62">
        <v>0</v>
      </c>
    </row>
    <row r="119" s="62" customFormat="1" customHeight="1" spans="1:45">
      <c r="A119" s="65">
        <v>41010</v>
      </c>
      <c r="B119" s="65"/>
      <c r="C119" s="65" t="s">
        <v>759</v>
      </c>
      <c r="D119" s="62">
        <v>5</v>
      </c>
      <c r="E119" s="62">
        <v>1</v>
      </c>
      <c r="F119" s="62">
        <v>41</v>
      </c>
      <c r="G119" s="62">
        <v>200</v>
      </c>
      <c r="I119" s="62">
        <v>0</v>
      </c>
      <c r="J119" s="98"/>
      <c r="K119" s="99"/>
      <c r="L119" s="99"/>
      <c r="M119" s="99"/>
      <c r="N119" s="99"/>
      <c r="O119" s="100"/>
      <c r="P119" s="100"/>
      <c r="Q119" s="100"/>
      <c r="R119" s="101"/>
      <c r="X119" s="102">
        <v>0</v>
      </c>
      <c r="Z119" s="103"/>
      <c r="AA119" s="103"/>
      <c r="AD119" s="62" t="s">
        <v>736</v>
      </c>
      <c r="AN119" s="62">
        <v>0</v>
      </c>
      <c r="AS119" s="62">
        <v>1</v>
      </c>
    </row>
    <row r="120" s="62" customFormat="1" customHeight="1" spans="1:45">
      <c r="A120" s="65">
        <v>41011</v>
      </c>
      <c r="B120" s="65"/>
      <c r="C120" s="65" t="s">
        <v>760</v>
      </c>
      <c r="D120" s="62">
        <v>5</v>
      </c>
      <c r="E120" s="62">
        <v>1</v>
      </c>
      <c r="F120" s="62">
        <v>41</v>
      </c>
      <c r="G120" s="62">
        <v>200</v>
      </c>
      <c r="I120" s="62">
        <v>0</v>
      </c>
      <c r="J120" s="98"/>
      <c r="K120" s="99"/>
      <c r="L120" s="99"/>
      <c r="M120" s="99"/>
      <c r="N120" s="99"/>
      <c r="O120" s="100"/>
      <c r="P120" s="100"/>
      <c r="Q120" s="100"/>
      <c r="R120" s="101"/>
      <c r="X120" s="102">
        <v>0</v>
      </c>
      <c r="Z120" s="103"/>
      <c r="AA120" s="103"/>
      <c r="AD120" s="62" t="s">
        <v>736</v>
      </c>
      <c r="AN120" s="62">
        <v>0</v>
      </c>
      <c r="AS120" s="62">
        <v>0</v>
      </c>
    </row>
    <row r="121" s="62" customFormat="1" customHeight="1" spans="1:45">
      <c r="A121" s="65">
        <v>41012</v>
      </c>
      <c r="B121" s="65"/>
      <c r="C121" s="65" t="s">
        <v>761</v>
      </c>
      <c r="D121" s="62">
        <v>5</v>
      </c>
      <c r="E121" s="62">
        <v>1</v>
      </c>
      <c r="F121" s="62">
        <v>41</v>
      </c>
      <c r="G121" s="62">
        <v>200</v>
      </c>
      <c r="I121" s="62">
        <v>0</v>
      </c>
      <c r="J121" s="98"/>
      <c r="K121" s="99"/>
      <c r="L121" s="99"/>
      <c r="M121" s="99"/>
      <c r="N121" s="99"/>
      <c r="O121" s="100"/>
      <c r="P121" s="100"/>
      <c r="Q121" s="100"/>
      <c r="R121" s="101"/>
      <c r="X121" s="102">
        <v>0</v>
      </c>
      <c r="Z121" s="103"/>
      <c r="AA121" s="103"/>
      <c r="AD121" s="62" t="s">
        <v>736</v>
      </c>
      <c r="AN121" s="62">
        <v>0</v>
      </c>
      <c r="AS121" s="62">
        <v>1</v>
      </c>
    </row>
    <row r="122" s="62" customFormat="1" customHeight="1" spans="1:45">
      <c r="A122" s="65">
        <v>42001</v>
      </c>
      <c r="B122" s="65"/>
      <c r="C122" s="65" t="s">
        <v>762</v>
      </c>
      <c r="D122" s="62">
        <v>5</v>
      </c>
      <c r="E122" s="62">
        <v>1</v>
      </c>
      <c r="F122" s="62">
        <v>41</v>
      </c>
      <c r="G122" s="62">
        <v>200</v>
      </c>
      <c r="I122" s="62">
        <v>0</v>
      </c>
      <c r="J122" s="98"/>
      <c r="K122" s="99"/>
      <c r="L122" s="99"/>
      <c r="M122" s="99"/>
      <c r="N122" s="99"/>
      <c r="O122" s="100"/>
      <c r="P122" s="100"/>
      <c r="Q122" s="100"/>
      <c r="R122" s="101"/>
      <c r="X122" s="102">
        <v>0</v>
      </c>
      <c r="Z122" s="103"/>
      <c r="AA122" s="103"/>
      <c r="AD122" s="62" t="s">
        <v>736</v>
      </c>
      <c r="AN122" s="62">
        <v>0</v>
      </c>
      <c r="AS122" s="62">
        <v>1</v>
      </c>
    </row>
    <row r="123" s="62" customFormat="1" customHeight="1" spans="1:45">
      <c r="A123" s="65">
        <v>42002</v>
      </c>
      <c r="B123" s="65"/>
      <c r="C123" s="65" t="s">
        <v>763</v>
      </c>
      <c r="D123" s="62">
        <v>5</v>
      </c>
      <c r="E123" s="62">
        <v>1</v>
      </c>
      <c r="F123" s="62">
        <v>41</v>
      </c>
      <c r="G123" s="62">
        <v>200</v>
      </c>
      <c r="I123" s="62">
        <v>0</v>
      </c>
      <c r="J123" s="98"/>
      <c r="K123" s="99"/>
      <c r="L123" s="99"/>
      <c r="M123" s="99"/>
      <c r="N123" s="99"/>
      <c r="O123" s="100"/>
      <c r="P123" s="100"/>
      <c r="Q123" s="100"/>
      <c r="R123" s="101"/>
      <c r="X123" s="102">
        <v>0</v>
      </c>
      <c r="Z123" s="103"/>
      <c r="AA123" s="103"/>
      <c r="AD123" s="62" t="s">
        <v>736</v>
      </c>
      <c r="AN123" s="62">
        <v>0</v>
      </c>
      <c r="AS123" s="62">
        <v>1</v>
      </c>
    </row>
    <row r="124" s="62" customFormat="1" customHeight="1" spans="1:45">
      <c r="A124" s="65">
        <v>42003</v>
      </c>
      <c r="B124" s="65"/>
      <c r="C124" s="65" t="s">
        <v>764</v>
      </c>
      <c r="D124" s="62">
        <v>5</v>
      </c>
      <c r="E124" s="62">
        <v>1</v>
      </c>
      <c r="F124" s="62">
        <v>41</v>
      </c>
      <c r="G124" s="62">
        <v>200</v>
      </c>
      <c r="I124" s="62">
        <v>0</v>
      </c>
      <c r="J124" s="98"/>
      <c r="K124" s="99"/>
      <c r="L124" s="99"/>
      <c r="M124" s="99"/>
      <c r="N124" s="99"/>
      <c r="O124" s="100"/>
      <c r="P124" s="100"/>
      <c r="Q124" s="100"/>
      <c r="R124" s="101"/>
      <c r="X124" s="102">
        <v>0</v>
      </c>
      <c r="Z124" s="103"/>
      <c r="AA124" s="103"/>
      <c r="AD124" s="62" t="s">
        <v>736</v>
      </c>
      <c r="AN124" s="62">
        <v>0</v>
      </c>
      <c r="AS124" s="62">
        <v>1</v>
      </c>
    </row>
    <row r="125" s="62" customFormat="1" customHeight="1" spans="1:45">
      <c r="A125" s="65">
        <v>42004</v>
      </c>
      <c r="B125" s="65"/>
      <c r="C125" s="65" t="s">
        <v>765</v>
      </c>
      <c r="D125" s="62">
        <v>5</v>
      </c>
      <c r="E125" s="62">
        <v>1</v>
      </c>
      <c r="F125" s="62">
        <v>41</v>
      </c>
      <c r="G125" s="62">
        <v>200</v>
      </c>
      <c r="I125" s="62">
        <v>0</v>
      </c>
      <c r="J125" s="98"/>
      <c r="K125" s="99"/>
      <c r="L125" s="99"/>
      <c r="M125" s="99"/>
      <c r="N125" s="99"/>
      <c r="O125" s="100"/>
      <c r="P125" s="100"/>
      <c r="Q125" s="100"/>
      <c r="R125" s="101"/>
      <c r="X125" s="102">
        <v>0</v>
      </c>
      <c r="Z125" s="103"/>
      <c r="AA125" s="103"/>
      <c r="AD125" s="62" t="s">
        <v>736</v>
      </c>
      <c r="AN125" s="62">
        <v>0</v>
      </c>
      <c r="AS125" s="62">
        <v>1</v>
      </c>
    </row>
    <row r="126" s="62" customFormat="1" customHeight="1" spans="1:45">
      <c r="A126" s="65">
        <v>42005</v>
      </c>
      <c r="B126" s="65"/>
      <c r="C126" s="65" t="s">
        <v>766</v>
      </c>
      <c r="D126" s="62">
        <v>5</v>
      </c>
      <c r="E126" s="62">
        <v>1</v>
      </c>
      <c r="F126" s="62">
        <v>41</v>
      </c>
      <c r="G126" s="62">
        <v>200</v>
      </c>
      <c r="I126" s="62">
        <v>0</v>
      </c>
      <c r="J126" s="98"/>
      <c r="K126" s="99"/>
      <c r="L126" s="99"/>
      <c r="M126" s="99"/>
      <c r="N126" s="99"/>
      <c r="O126" s="100"/>
      <c r="P126" s="100"/>
      <c r="Q126" s="100"/>
      <c r="R126" s="101"/>
      <c r="X126" s="102">
        <v>0</v>
      </c>
      <c r="Z126" s="103"/>
      <c r="AA126" s="103"/>
      <c r="AD126" s="62" t="s">
        <v>736</v>
      </c>
      <c r="AN126" s="62">
        <v>0</v>
      </c>
      <c r="AS126" s="62">
        <v>1</v>
      </c>
    </row>
    <row r="127" s="62" customFormat="1" customHeight="1" spans="1:45">
      <c r="A127" s="65">
        <v>42006</v>
      </c>
      <c r="B127" s="65"/>
      <c r="C127" s="65" t="s">
        <v>767</v>
      </c>
      <c r="D127" s="62">
        <v>5</v>
      </c>
      <c r="E127" s="62">
        <v>1</v>
      </c>
      <c r="F127" s="62">
        <v>41</v>
      </c>
      <c r="G127" s="62">
        <v>200</v>
      </c>
      <c r="I127" s="62">
        <v>0</v>
      </c>
      <c r="J127" s="98"/>
      <c r="K127" s="99"/>
      <c r="L127" s="99"/>
      <c r="M127" s="99"/>
      <c r="N127" s="99"/>
      <c r="O127" s="100"/>
      <c r="P127" s="100"/>
      <c r="Q127" s="100"/>
      <c r="R127" s="101"/>
      <c r="X127" s="102">
        <v>0</v>
      </c>
      <c r="Z127" s="103"/>
      <c r="AA127" s="103"/>
      <c r="AD127" s="62" t="s">
        <v>736</v>
      </c>
      <c r="AN127" s="62">
        <v>0</v>
      </c>
      <c r="AS127" s="62">
        <v>1</v>
      </c>
    </row>
    <row r="128" s="62" customFormat="1" customHeight="1" spans="1:45">
      <c r="A128" s="65">
        <v>42007</v>
      </c>
      <c r="B128" s="65"/>
      <c r="C128" s="65" t="s">
        <v>768</v>
      </c>
      <c r="D128" s="62">
        <v>5</v>
      </c>
      <c r="E128" s="62">
        <v>1</v>
      </c>
      <c r="F128" s="62">
        <v>41</v>
      </c>
      <c r="G128" s="62">
        <v>200</v>
      </c>
      <c r="I128" s="62">
        <v>0</v>
      </c>
      <c r="J128" s="98"/>
      <c r="K128" s="99"/>
      <c r="L128" s="99"/>
      <c r="M128" s="99"/>
      <c r="N128" s="99"/>
      <c r="O128" s="100"/>
      <c r="P128" s="100"/>
      <c r="Q128" s="100"/>
      <c r="R128" s="101"/>
      <c r="X128" s="102">
        <v>0</v>
      </c>
      <c r="Z128" s="103"/>
      <c r="AA128" s="103"/>
      <c r="AD128" s="62" t="s">
        <v>736</v>
      </c>
      <c r="AN128" s="62">
        <v>0</v>
      </c>
      <c r="AS128" s="62">
        <v>1</v>
      </c>
    </row>
    <row r="129" s="62" customFormat="1" customHeight="1" spans="1:45">
      <c r="A129" s="65">
        <v>42008</v>
      </c>
      <c r="B129" s="65"/>
      <c r="C129" s="65" t="s">
        <v>769</v>
      </c>
      <c r="D129" s="62">
        <v>5</v>
      </c>
      <c r="E129" s="62">
        <v>1</v>
      </c>
      <c r="F129" s="62">
        <v>41</v>
      </c>
      <c r="G129" s="62">
        <v>200</v>
      </c>
      <c r="I129" s="62">
        <v>0</v>
      </c>
      <c r="J129" s="98"/>
      <c r="K129" s="99"/>
      <c r="L129" s="99"/>
      <c r="M129" s="99"/>
      <c r="N129" s="99"/>
      <c r="O129" s="100"/>
      <c r="P129" s="100"/>
      <c r="Q129" s="100"/>
      <c r="R129" s="101"/>
      <c r="X129" s="102">
        <v>0</v>
      </c>
      <c r="Z129" s="103"/>
      <c r="AA129" s="103"/>
      <c r="AD129" s="62" t="s">
        <v>736</v>
      </c>
      <c r="AN129" s="62">
        <v>0</v>
      </c>
      <c r="AS129" s="62">
        <v>1</v>
      </c>
    </row>
    <row r="130" s="62" customFormat="1" customHeight="1" spans="1:45">
      <c r="A130" s="65">
        <v>42009</v>
      </c>
      <c r="B130" s="65"/>
      <c r="C130" s="65" t="s">
        <v>770</v>
      </c>
      <c r="D130" s="62">
        <v>5</v>
      </c>
      <c r="E130" s="62">
        <v>1</v>
      </c>
      <c r="F130" s="62">
        <v>41</v>
      </c>
      <c r="G130" s="62">
        <v>200</v>
      </c>
      <c r="I130" s="62">
        <v>0</v>
      </c>
      <c r="J130" s="98"/>
      <c r="K130" s="99"/>
      <c r="L130" s="99"/>
      <c r="M130" s="99"/>
      <c r="N130" s="99"/>
      <c r="O130" s="100"/>
      <c r="P130" s="100"/>
      <c r="Q130" s="100"/>
      <c r="R130" s="101"/>
      <c r="X130" s="102">
        <v>0</v>
      </c>
      <c r="Z130" s="103"/>
      <c r="AA130" s="103"/>
      <c r="AD130" s="62" t="s">
        <v>736</v>
      </c>
      <c r="AN130" s="62">
        <v>0</v>
      </c>
      <c r="AS130" s="62">
        <v>1</v>
      </c>
    </row>
    <row r="131" s="62" customFormat="1" customHeight="1" spans="1:45">
      <c r="A131" s="65">
        <v>42010</v>
      </c>
      <c r="B131" s="65"/>
      <c r="C131" s="65" t="s">
        <v>771</v>
      </c>
      <c r="D131" s="62">
        <v>5</v>
      </c>
      <c r="E131" s="62">
        <v>1</v>
      </c>
      <c r="F131" s="62">
        <v>41</v>
      </c>
      <c r="G131" s="62">
        <v>200</v>
      </c>
      <c r="I131" s="62">
        <v>0</v>
      </c>
      <c r="J131" s="98"/>
      <c r="K131" s="99"/>
      <c r="L131" s="99"/>
      <c r="M131" s="99"/>
      <c r="N131" s="99"/>
      <c r="O131" s="100"/>
      <c r="P131" s="100"/>
      <c r="Q131" s="100"/>
      <c r="R131" s="101"/>
      <c r="X131" s="102">
        <v>0</v>
      </c>
      <c r="Z131" s="103"/>
      <c r="AA131" s="103"/>
      <c r="AD131" s="62" t="s">
        <v>736</v>
      </c>
      <c r="AN131" s="62">
        <v>0</v>
      </c>
      <c r="AS131" s="62">
        <v>1</v>
      </c>
    </row>
    <row r="132" s="62" customFormat="1" customHeight="1" spans="1:45">
      <c r="A132" s="65">
        <v>42011</v>
      </c>
      <c r="B132" s="65"/>
      <c r="C132" s="65" t="s">
        <v>772</v>
      </c>
      <c r="D132" s="62">
        <v>5</v>
      </c>
      <c r="E132" s="62">
        <v>1</v>
      </c>
      <c r="F132" s="62">
        <v>41</v>
      </c>
      <c r="G132" s="62">
        <v>200</v>
      </c>
      <c r="I132" s="62">
        <v>0</v>
      </c>
      <c r="J132" s="98"/>
      <c r="K132" s="99"/>
      <c r="L132" s="99"/>
      <c r="M132" s="99"/>
      <c r="N132" s="99"/>
      <c r="O132" s="100"/>
      <c r="P132" s="100"/>
      <c r="Q132" s="100"/>
      <c r="R132" s="101"/>
      <c r="X132" s="102">
        <v>0</v>
      </c>
      <c r="Z132" s="103"/>
      <c r="AA132" s="103"/>
      <c r="AD132" s="62" t="s">
        <v>736</v>
      </c>
      <c r="AN132" s="62">
        <v>0</v>
      </c>
      <c r="AS132" s="62">
        <v>1</v>
      </c>
    </row>
    <row r="133" s="62" customFormat="1" customHeight="1" spans="1:45">
      <c r="A133" s="65">
        <v>42013</v>
      </c>
      <c r="B133" s="65"/>
      <c r="C133" s="65" t="s">
        <v>773</v>
      </c>
      <c r="D133" s="62">
        <v>5</v>
      </c>
      <c r="E133" s="62">
        <v>1</v>
      </c>
      <c r="F133" s="62">
        <v>41</v>
      </c>
      <c r="G133" s="62">
        <v>200</v>
      </c>
      <c r="I133" s="62">
        <v>0</v>
      </c>
      <c r="J133" s="98"/>
      <c r="K133" s="99"/>
      <c r="L133" s="99"/>
      <c r="M133" s="99"/>
      <c r="N133" s="99"/>
      <c r="O133" s="100"/>
      <c r="P133" s="100"/>
      <c r="Q133" s="100"/>
      <c r="R133" s="101"/>
      <c r="X133" s="102">
        <v>0</v>
      </c>
      <c r="Z133" s="103"/>
      <c r="AA133" s="103"/>
      <c r="AD133" s="62" t="s">
        <v>736</v>
      </c>
      <c r="AN133" s="62">
        <v>0</v>
      </c>
      <c r="AS133" s="62">
        <v>1</v>
      </c>
    </row>
    <row r="134" s="62" customFormat="1" customHeight="1" spans="1:45">
      <c r="A134" s="65">
        <v>42014</v>
      </c>
      <c r="B134" s="65"/>
      <c r="C134" s="65" t="s">
        <v>774</v>
      </c>
      <c r="D134" s="62">
        <v>5</v>
      </c>
      <c r="E134" s="62">
        <v>1</v>
      </c>
      <c r="F134" s="62">
        <v>41</v>
      </c>
      <c r="G134" s="62">
        <v>200</v>
      </c>
      <c r="I134" s="62">
        <v>0</v>
      </c>
      <c r="J134" s="98"/>
      <c r="K134" s="99"/>
      <c r="L134" s="99"/>
      <c r="M134" s="99"/>
      <c r="N134" s="99"/>
      <c r="O134" s="100"/>
      <c r="P134" s="100"/>
      <c r="Q134" s="100"/>
      <c r="R134" s="101"/>
      <c r="X134" s="102">
        <v>0</v>
      </c>
      <c r="Z134" s="103"/>
      <c r="AA134" s="103"/>
      <c r="AD134" s="62" t="s">
        <v>736</v>
      </c>
      <c r="AN134" s="62">
        <v>0</v>
      </c>
      <c r="AS134" s="62">
        <v>1</v>
      </c>
    </row>
    <row r="135" s="62" customFormat="1" customHeight="1" spans="1:45">
      <c r="A135" s="65">
        <v>42015</v>
      </c>
      <c r="B135" s="65"/>
      <c r="C135" s="65" t="s">
        <v>775</v>
      </c>
      <c r="D135" s="62">
        <v>5</v>
      </c>
      <c r="E135" s="62">
        <v>1</v>
      </c>
      <c r="F135" s="62">
        <v>41</v>
      </c>
      <c r="G135" s="62">
        <v>200</v>
      </c>
      <c r="I135" s="62">
        <v>0</v>
      </c>
      <c r="J135" s="98"/>
      <c r="K135" s="99"/>
      <c r="L135" s="99"/>
      <c r="M135" s="99"/>
      <c r="N135" s="99"/>
      <c r="O135" s="100"/>
      <c r="P135" s="100"/>
      <c r="Q135" s="100"/>
      <c r="R135" s="101"/>
      <c r="X135" s="102">
        <v>0</v>
      </c>
      <c r="Z135" s="103"/>
      <c r="AA135" s="103"/>
      <c r="AD135" s="62" t="s">
        <v>736</v>
      </c>
      <c r="AN135" s="62">
        <v>0</v>
      </c>
      <c r="AS135" s="62">
        <v>1</v>
      </c>
    </row>
    <row r="136" s="62" customFormat="1" customHeight="1" spans="1:45">
      <c r="A136" s="65">
        <v>43001</v>
      </c>
      <c r="B136" s="65"/>
      <c r="C136" s="65" t="s">
        <v>776</v>
      </c>
      <c r="D136" s="62">
        <v>5</v>
      </c>
      <c r="E136" s="62">
        <v>1</v>
      </c>
      <c r="F136" s="62">
        <v>41</v>
      </c>
      <c r="G136" s="62">
        <v>200</v>
      </c>
      <c r="I136" s="62">
        <v>0</v>
      </c>
      <c r="J136" s="98"/>
      <c r="K136" s="99"/>
      <c r="L136" s="99"/>
      <c r="M136" s="99"/>
      <c r="N136" s="99"/>
      <c r="O136" s="100"/>
      <c r="P136" s="100"/>
      <c r="Q136" s="100"/>
      <c r="R136" s="101"/>
      <c r="X136" s="102">
        <v>0</v>
      </c>
      <c r="Z136" s="103"/>
      <c r="AA136" s="103"/>
      <c r="AD136" s="62" t="s">
        <v>736</v>
      </c>
      <c r="AN136" s="62">
        <v>0</v>
      </c>
      <c r="AS136" s="62">
        <v>0</v>
      </c>
    </row>
    <row r="137" s="62" customFormat="1" customHeight="1" spans="1:45">
      <c r="A137" s="65">
        <v>43002</v>
      </c>
      <c r="B137" s="65"/>
      <c r="C137" s="65" t="s">
        <v>777</v>
      </c>
      <c r="D137" s="62">
        <v>5</v>
      </c>
      <c r="E137" s="62">
        <v>1</v>
      </c>
      <c r="F137" s="62">
        <v>41</v>
      </c>
      <c r="G137" s="62">
        <v>200</v>
      </c>
      <c r="I137" s="62">
        <v>0</v>
      </c>
      <c r="J137" s="98"/>
      <c r="K137" s="99"/>
      <c r="L137" s="99"/>
      <c r="M137" s="99"/>
      <c r="N137" s="99"/>
      <c r="O137" s="100"/>
      <c r="P137" s="100"/>
      <c r="Q137" s="100"/>
      <c r="R137" s="101"/>
      <c r="X137" s="102">
        <v>0</v>
      </c>
      <c r="Z137" s="103"/>
      <c r="AA137" s="103"/>
      <c r="AD137" s="62" t="s">
        <v>736</v>
      </c>
      <c r="AN137" s="62">
        <v>0</v>
      </c>
      <c r="AS137" s="62">
        <v>1</v>
      </c>
    </row>
    <row r="138" s="62" customFormat="1" customHeight="1" spans="1:45">
      <c r="A138" s="65">
        <v>43003</v>
      </c>
      <c r="B138" s="65"/>
      <c r="C138" s="65" t="s">
        <v>778</v>
      </c>
      <c r="D138" s="62">
        <v>5</v>
      </c>
      <c r="E138" s="62">
        <v>1</v>
      </c>
      <c r="F138" s="62">
        <v>41</v>
      </c>
      <c r="G138" s="62">
        <v>200</v>
      </c>
      <c r="I138" s="62">
        <v>0</v>
      </c>
      <c r="J138" s="98"/>
      <c r="K138" s="99"/>
      <c r="L138" s="99"/>
      <c r="M138" s="99"/>
      <c r="N138" s="99"/>
      <c r="O138" s="100"/>
      <c r="P138" s="100"/>
      <c r="Q138" s="100"/>
      <c r="R138" s="101"/>
      <c r="X138" s="102">
        <v>0</v>
      </c>
      <c r="Z138" s="103"/>
      <c r="AA138" s="103"/>
      <c r="AD138" s="62" t="s">
        <v>736</v>
      </c>
      <c r="AN138" s="62">
        <v>0</v>
      </c>
      <c r="AS138" s="62">
        <v>0</v>
      </c>
    </row>
    <row r="139" s="62" customFormat="1" customHeight="1" spans="1:45">
      <c r="A139" s="65">
        <v>43004</v>
      </c>
      <c r="B139" s="65"/>
      <c r="C139" s="65" t="s">
        <v>779</v>
      </c>
      <c r="D139" s="62">
        <v>5</v>
      </c>
      <c r="E139" s="62">
        <v>1</v>
      </c>
      <c r="F139" s="62">
        <v>41</v>
      </c>
      <c r="G139" s="62">
        <v>200</v>
      </c>
      <c r="I139" s="62">
        <v>0</v>
      </c>
      <c r="J139" s="98"/>
      <c r="K139" s="99"/>
      <c r="L139" s="99"/>
      <c r="M139" s="99"/>
      <c r="N139" s="99"/>
      <c r="O139" s="100"/>
      <c r="P139" s="100"/>
      <c r="Q139" s="100"/>
      <c r="R139" s="101"/>
      <c r="X139" s="102">
        <v>0</v>
      </c>
      <c r="Z139" s="103"/>
      <c r="AA139" s="103"/>
      <c r="AD139" s="62" t="s">
        <v>736</v>
      </c>
      <c r="AN139" s="62">
        <v>0</v>
      </c>
      <c r="AS139" s="62">
        <v>0</v>
      </c>
    </row>
    <row r="140" s="62" customFormat="1" customHeight="1" spans="1:45">
      <c r="A140" s="65">
        <v>43005</v>
      </c>
      <c r="B140" s="65"/>
      <c r="C140" s="65" t="s">
        <v>780</v>
      </c>
      <c r="D140" s="62">
        <v>5</v>
      </c>
      <c r="E140" s="62">
        <v>1</v>
      </c>
      <c r="F140" s="62">
        <v>41</v>
      </c>
      <c r="G140" s="62">
        <v>200</v>
      </c>
      <c r="I140" s="62">
        <v>0</v>
      </c>
      <c r="J140" s="98"/>
      <c r="K140" s="99"/>
      <c r="L140" s="99"/>
      <c r="M140" s="99"/>
      <c r="N140" s="99"/>
      <c r="O140" s="100"/>
      <c r="P140" s="100"/>
      <c r="Q140" s="100"/>
      <c r="R140" s="101"/>
      <c r="X140" s="102">
        <v>0</v>
      </c>
      <c r="Z140" s="103"/>
      <c r="AA140" s="103"/>
      <c r="AD140" s="62" t="s">
        <v>736</v>
      </c>
      <c r="AN140" s="62">
        <v>0</v>
      </c>
      <c r="AS140" s="62">
        <v>1</v>
      </c>
    </row>
    <row r="141" s="62" customFormat="1" customHeight="1" spans="1:45">
      <c r="A141" s="65">
        <v>43006</v>
      </c>
      <c r="B141" s="65"/>
      <c r="C141" s="65" t="s">
        <v>781</v>
      </c>
      <c r="D141" s="62">
        <v>5</v>
      </c>
      <c r="E141" s="62">
        <v>1</v>
      </c>
      <c r="F141" s="62">
        <v>41</v>
      </c>
      <c r="G141" s="62">
        <v>200</v>
      </c>
      <c r="I141" s="62">
        <v>0</v>
      </c>
      <c r="J141" s="98"/>
      <c r="K141" s="99"/>
      <c r="L141" s="99"/>
      <c r="M141" s="99"/>
      <c r="N141" s="99"/>
      <c r="O141" s="100"/>
      <c r="P141" s="100"/>
      <c r="Q141" s="100"/>
      <c r="R141" s="101"/>
      <c r="X141" s="102">
        <v>0</v>
      </c>
      <c r="Z141" s="103"/>
      <c r="AA141" s="103"/>
      <c r="AD141" s="62" t="s">
        <v>736</v>
      </c>
      <c r="AN141" s="62">
        <v>0</v>
      </c>
      <c r="AS141" s="62">
        <v>0</v>
      </c>
    </row>
    <row r="142" s="62" customFormat="1" customHeight="1" spans="1:45">
      <c r="A142" s="65">
        <v>43007</v>
      </c>
      <c r="B142" s="65"/>
      <c r="C142" s="65" t="s">
        <v>782</v>
      </c>
      <c r="D142" s="62">
        <v>5</v>
      </c>
      <c r="E142" s="62">
        <v>1</v>
      </c>
      <c r="F142" s="62">
        <v>41</v>
      </c>
      <c r="G142" s="62">
        <v>200</v>
      </c>
      <c r="I142" s="62">
        <v>0</v>
      </c>
      <c r="J142" s="98"/>
      <c r="K142" s="99"/>
      <c r="L142" s="99"/>
      <c r="M142" s="99"/>
      <c r="N142" s="99"/>
      <c r="O142" s="100"/>
      <c r="P142" s="100"/>
      <c r="Q142" s="100"/>
      <c r="R142" s="101"/>
      <c r="X142" s="102">
        <v>0</v>
      </c>
      <c r="Z142" s="103"/>
      <c r="AA142" s="103"/>
      <c r="AD142" s="62" t="s">
        <v>736</v>
      </c>
      <c r="AN142" s="62">
        <v>0</v>
      </c>
      <c r="AS142" s="62">
        <v>1</v>
      </c>
    </row>
    <row r="143" s="62" customFormat="1" customHeight="1" spans="1:45">
      <c r="A143" s="65">
        <v>43008</v>
      </c>
      <c r="B143" s="65"/>
      <c r="C143" s="65" t="s">
        <v>783</v>
      </c>
      <c r="D143" s="62">
        <v>5</v>
      </c>
      <c r="E143" s="62">
        <v>1</v>
      </c>
      <c r="F143" s="62">
        <v>41</v>
      </c>
      <c r="G143" s="62">
        <v>200</v>
      </c>
      <c r="I143" s="62">
        <v>0</v>
      </c>
      <c r="J143" s="98"/>
      <c r="K143" s="99"/>
      <c r="L143" s="99"/>
      <c r="M143" s="99"/>
      <c r="N143" s="99"/>
      <c r="O143" s="100"/>
      <c r="P143" s="100"/>
      <c r="Q143" s="100"/>
      <c r="R143" s="101"/>
      <c r="X143" s="102">
        <v>0</v>
      </c>
      <c r="Z143" s="103"/>
      <c r="AA143" s="103"/>
      <c r="AD143" s="62" t="s">
        <v>736</v>
      </c>
      <c r="AN143" s="62">
        <v>0</v>
      </c>
      <c r="AS143" s="62">
        <v>0</v>
      </c>
    </row>
    <row r="144" s="62" customFormat="1" customHeight="1" spans="1:45">
      <c r="A144" s="65">
        <v>43009</v>
      </c>
      <c r="B144" s="65"/>
      <c r="C144" s="65" t="s">
        <v>784</v>
      </c>
      <c r="D144" s="62">
        <v>5</v>
      </c>
      <c r="E144" s="62">
        <v>1</v>
      </c>
      <c r="F144" s="62">
        <v>41</v>
      </c>
      <c r="G144" s="62">
        <v>200</v>
      </c>
      <c r="I144" s="62">
        <v>0</v>
      </c>
      <c r="J144" s="98"/>
      <c r="K144" s="99"/>
      <c r="L144" s="99"/>
      <c r="M144" s="99"/>
      <c r="N144" s="99"/>
      <c r="O144" s="100"/>
      <c r="P144" s="100"/>
      <c r="Q144" s="100"/>
      <c r="R144" s="101"/>
      <c r="X144" s="102">
        <v>0</v>
      </c>
      <c r="Z144" s="103"/>
      <c r="AA144" s="103"/>
      <c r="AD144" s="62" t="s">
        <v>736</v>
      </c>
      <c r="AN144" s="62">
        <v>0</v>
      </c>
      <c r="AS144" s="62">
        <v>1</v>
      </c>
    </row>
    <row r="145" s="62" customFormat="1" customHeight="1" spans="1:45">
      <c r="A145" s="65">
        <v>43010</v>
      </c>
      <c r="B145" s="65"/>
      <c r="C145" s="65" t="s">
        <v>785</v>
      </c>
      <c r="D145" s="62">
        <v>5</v>
      </c>
      <c r="E145" s="62">
        <v>1</v>
      </c>
      <c r="F145" s="62">
        <v>41</v>
      </c>
      <c r="G145" s="62">
        <v>200</v>
      </c>
      <c r="I145" s="62">
        <v>0</v>
      </c>
      <c r="J145" s="98"/>
      <c r="K145" s="99"/>
      <c r="L145" s="99"/>
      <c r="M145" s="99"/>
      <c r="N145" s="99"/>
      <c r="O145" s="100"/>
      <c r="P145" s="100"/>
      <c r="Q145" s="100"/>
      <c r="R145" s="101"/>
      <c r="X145" s="102">
        <v>0</v>
      </c>
      <c r="Z145" s="103"/>
      <c r="AA145" s="103"/>
      <c r="AD145" s="62" t="s">
        <v>736</v>
      </c>
      <c r="AN145" s="62">
        <v>0</v>
      </c>
      <c r="AS145" s="62">
        <v>1</v>
      </c>
    </row>
    <row r="146" s="62" customFormat="1" customHeight="1" spans="1:45">
      <c r="A146" s="65">
        <v>43011</v>
      </c>
      <c r="B146" s="65"/>
      <c r="C146" s="65" t="s">
        <v>786</v>
      </c>
      <c r="D146" s="62">
        <v>5</v>
      </c>
      <c r="E146" s="62">
        <v>1</v>
      </c>
      <c r="F146" s="62">
        <v>41</v>
      </c>
      <c r="G146" s="62">
        <v>200</v>
      </c>
      <c r="I146" s="62">
        <v>0</v>
      </c>
      <c r="J146" s="98"/>
      <c r="K146" s="99"/>
      <c r="L146" s="99"/>
      <c r="M146" s="99"/>
      <c r="N146" s="99"/>
      <c r="O146" s="100"/>
      <c r="P146" s="100"/>
      <c r="Q146" s="100"/>
      <c r="R146" s="101"/>
      <c r="X146" s="102">
        <v>0</v>
      </c>
      <c r="Z146" s="103"/>
      <c r="AA146" s="103"/>
      <c r="AD146" s="62" t="s">
        <v>736</v>
      </c>
      <c r="AN146" s="62">
        <v>0</v>
      </c>
      <c r="AS146" s="62">
        <v>1</v>
      </c>
    </row>
    <row r="147" s="62" customFormat="1" customHeight="1" spans="1:45">
      <c r="A147" s="65">
        <v>49000</v>
      </c>
      <c r="B147" s="65"/>
      <c r="C147" s="65" t="s">
        <v>787</v>
      </c>
      <c r="D147" s="62">
        <v>5</v>
      </c>
      <c r="E147" s="62">
        <v>1</v>
      </c>
      <c r="F147" s="62">
        <v>41</v>
      </c>
      <c r="G147" s="62">
        <v>200</v>
      </c>
      <c r="I147" s="62">
        <v>0</v>
      </c>
      <c r="J147" s="98"/>
      <c r="K147" s="99"/>
      <c r="L147" s="99"/>
      <c r="M147" s="99"/>
      <c r="N147" s="99"/>
      <c r="O147" s="100"/>
      <c r="P147" s="100"/>
      <c r="Q147" s="100"/>
      <c r="R147" s="101"/>
      <c r="X147" s="102">
        <v>0</v>
      </c>
      <c r="Z147" s="103"/>
      <c r="AA147" s="103"/>
      <c r="AD147" s="62" t="s">
        <v>788</v>
      </c>
      <c r="AN147" s="62">
        <v>0</v>
      </c>
      <c r="AS147" s="62">
        <v>0</v>
      </c>
    </row>
    <row r="148" s="62" customFormat="1" customHeight="1" spans="1:45">
      <c r="A148" s="65">
        <v>49001</v>
      </c>
      <c r="B148" s="65"/>
      <c r="C148" s="65" t="s">
        <v>789</v>
      </c>
      <c r="D148" s="62">
        <v>5</v>
      </c>
      <c r="E148" s="62">
        <v>1</v>
      </c>
      <c r="F148" s="62">
        <v>41</v>
      </c>
      <c r="G148" s="62">
        <v>200</v>
      </c>
      <c r="I148" s="62">
        <v>0</v>
      </c>
      <c r="J148" s="98"/>
      <c r="K148" s="99"/>
      <c r="L148" s="99"/>
      <c r="M148" s="99"/>
      <c r="N148" s="99"/>
      <c r="O148" s="100"/>
      <c r="P148" s="100"/>
      <c r="Q148" s="100"/>
      <c r="R148" s="101"/>
      <c r="X148" s="102">
        <v>0</v>
      </c>
      <c r="Z148" s="103"/>
      <c r="AA148" s="103"/>
      <c r="AD148" s="62" t="s">
        <v>790</v>
      </c>
      <c r="AN148" s="62">
        <v>0</v>
      </c>
      <c r="AS148" s="62">
        <v>0</v>
      </c>
    </row>
    <row r="149" s="62" customFormat="1" customHeight="1" spans="1:45">
      <c r="A149" s="65">
        <v>49002</v>
      </c>
      <c r="B149" s="65"/>
      <c r="C149" s="65" t="s">
        <v>791</v>
      </c>
      <c r="D149" s="62">
        <v>5</v>
      </c>
      <c r="E149" s="62">
        <v>1</v>
      </c>
      <c r="F149" s="62">
        <v>41</v>
      </c>
      <c r="G149" s="62">
        <v>200</v>
      </c>
      <c r="I149" s="62">
        <v>0</v>
      </c>
      <c r="J149" s="98"/>
      <c r="K149" s="99"/>
      <c r="L149" s="99"/>
      <c r="M149" s="99"/>
      <c r="N149" s="99"/>
      <c r="O149" s="100"/>
      <c r="P149" s="100"/>
      <c r="Q149" s="100"/>
      <c r="R149" s="101"/>
      <c r="X149" s="102">
        <v>0</v>
      </c>
      <c r="Z149" s="103"/>
      <c r="AA149" s="103"/>
      <c r="AD149" s="62" t="s">
        <v>792</v>
      </c>
      <c r="AN149" s="62">
        <v>0</v>
      </c>
      <c r="AS149" s="62">
        <v>0</v>
      </c>
    </row>
    <row r="150" s="62" customFormat="1" customHeight="1" spans="1:45">
      <c r="A150" s="65">
        <v>49003</v>
      </c>
      <c r="B150" s="65"/>
      <c r="C150" s="65" t="s">
        <v>793</v>
      </c>
      <c r="D150" s="62">
        <v>5</v>
      </c>
      <c r="E150" s="62">
        <v>1</v>
      </c>
      <c r="F150" s="62">
        <v>41</v>
      </c>
      <c r="G150" s="62">
        <v>200</v>
      </c>
      <c r="I150" s="62">
        <v>0</v>
      </c>
      <c r="J150" s="98"/>
      <c r="K150" s="99"/>
      <c r="L150" s="99"/>
      <c r="M150" s="99"/>
      <c r="N150" s="99"/>
      <c r="O150" s="100"/>
      <c r="P150" s="100"/>
      <c r="Q150" s="100"/>
      <c r="R150" s="101"/>
      <c r="X150" s="102">
        <v>0</v>
      </c>
      <c r="Z150" s="103"/>
      <c r="AA150" s="103"/>
      <c r="AD150" s="62" t="s">
        <v>794</v>
      </c>
      <c r="AN150" s="62">
        <v>0</v>
      </c>
      <c r="AS150" s="62">
        <v>0</v>
      </c>
    </row>
    <row r="151" s="62" customFormat="1" customHeight="1" spans="1:45">
      <c r="A151" s="65">
        <v>49004</v>
      </c>
      <c r="B151" s="65"/>
      <c r="C151" s="65" t="s">
        <v>795</v>
      </c>
      <c r="D151" s="62">
        <v>5</v>
      </c>
      <c r="E151" s="62">
        <v>1</v>
      </c>
      <c r="F151" s="62">
        <v>41</v>
      </c>
      <c r="G151" s="62">
        <v>200</v>
      </c>
      <c r="I151" s="62">
        <v>0</v>
      </c>
      <c r="J151" s="98"/>
      <c r="K151" s="99"/>
      <c r="L151" s="99"/>
      <c r="M151" s="99"/>
      <c r="N151" s="99"/>
      <c r="O151" s="100"/>
      <c r="P151" s="100"/>
      <c r="Q151" s="100"/>
      <c r="R151" s="101"/>
      <c r="X151" s="102">
        <v>0</v>
      </c>
      <c r="Z151" s="103"/>
      <c r="AA151" s="103"/>
      <c r="AD151" s="62" t="s">
        <v>796</v>
      </c>
      <c r="AN151" s="62">
        <v>0</v>
      </c>
      <c r="AS151" s="62">
        <v>0</v>
      </c>
    </row>
    <row r="152" s="62" customFormat="1" customHeight="1" spans="1:46">
      <c r="A152" s="65">
        <v>30047</v>
      </c>
      <c r="B152" s="66"/>
      <c r="C152" s="66" t="s">
        <v>797</v>
      </c>
      <c r="D152" s="66">
        <v>3</v>
      </c>
      <c r="E152" s="66">
        <v>1</v>
      </c>
      <c r="F152" s="66">
        <v>41</v>
      </c>
      <c r="G152" s="66">
        <v>200</v>
      </c>
      <c r="H152" s="66">
        <v>0</v>
      </c>
      <c r="I152" s="66">
        <v>2</v>
      </c>
      <c r="J152" s="74">
        <v>199</v>
      </c>
      <c r="K152" s="75"/>
      <c r="L152" s="75">
        <v>203</v>
      </c>
      <c r="M152" s="75"/>
      <c r="N152" s="75"/>
      <c r="O152" s="76"/>
      <c r="P152" s="76"/>
      <c r="Q152" s="76"/>
      <c r="R152" s="86"/>
      <c r="S152" s="66">
        <v>1</v>
      </c>
      <c r="T152" s="66">
        <v>0</v>
      </c>
      <c r="U152" s="66"/>
      <c r="V152" s="66"/>
      <c r="W152" s="66"/>
      <c r="X152" s="110">
        <v>5000</v>
      </c>
      <c r="Y152" s="66"/>
      <c r="Z152" s="113"/>
      <c r="AA152" s="113"/>
      <c r="AB152" s="66"/>
      <c r="AC152" s="66"/>
      <c r="AD152" s="114" t="s">
        <v>798</v>
      </c>
      <c r="AE152" s="114" t="s">
        <v>799</v>
      </c>
      <c r="AF152" s="114" t="s">
        <v>800</v>
      </c>
      <c r="AG152" s="114" t="s">
        <v>801</v>
      </c>
      <c r="AH152" s="114" t="s">
        <v>802</v>
      </c>
      <c r="AI152" s="66"/>
      <c r="AJ152" s="66">
        <v>0</v>
      </c>
      <c r="AK152" s="66" t="s">
        <v>803</v>
      </c>
      <c r="AL152" s="66" t="s">
        <v>804</v>
      </c>
      <c r="AN152" s="66">
        <v>1</v>
      </c>
      <c r="AO152" s="66">
        <v>0</v>
      </c>
      <c r="AP152" s="66">
        <v>0</v>
      </c>
      <c r="AQ152" s="66">
        <v>0</v>
      </c>
      <c r="AR152" s="66">
        <v>0</v>
      </c>
      <c r="AS152" s="66">
        <v>0</v>
      </c>
      <c r="AT152" s="97" t="str">
        <f t="shared" ref="AT152:AT159" si="21">"{s_taskTalk,{"&amp;J152&amp;","&amp;L152&amp;"}}"</f>
        <v>{s_taskTalk,{199,203}}</v>
      </c>
    </row>
    <row r="153" s="62" customFormat="1" customHeight="1" spans="1:46">
      <c r="A153" s="65">
        <v>30048</v>
      </c>
      <c r="B153" s="66"/>
      <c r="C153" s="66" t="s">
        <v>805</v>
      </c>
      <c r="D153" s="66">
        <v>3</v>
      </c>
      <c r="E153" s="66">
        <v>1</v>
      </c>
      <c r="F153" s="66">
        <v>41</v>
      </c>
      <c r="G153" s="66">
        <v>200</v>
      </c>
      <c r="H153" s="66">
        <v>0</v>
      </c>
      <c r="I153" s="66">
        <v>2</v>
      </c>
      <c r="J153" s="74">
        <v>199</v>
      </c>
      <c r="K153" s="75"/>
      <c r="L153" s="75">
        <v>204</v>
      </c>
      <c r="M153" s="75"/>
      <c r="N153" s="75"/>
      <c r="O153" s="76"/>
      <c r="P153" s="76"/>
      <c r="Q153" s="76"/>
      <c r="R153" s="86"/>
      <c r="S153" s="66">
        <v>1</v>
      </c>
      <c r="T153" s="66">
        <v>0</v>
      </c>
      <c r="U153" s="66"/>
      <c r="V153" s="66"/>
      <c r="W153" s="66"/>
      <c r="X153" s="110">
        <v>5000</v>
      </c>
      <c r="Y153" s="66"/>
      <c r="Z153" s="113"/>
      <c r="AA153" s="113"/>
      <c r="AB153" s="66"/>
      <c r="AC153" s="66"/>
      <c r="AD153" s="114" t="s">
        <v>806</v>
      </c>
      <c r="AE153" s="114" t="s">
        <v>807</v>
      </c>
      <c r="AF153" s="114" t="s">
        <v>800</v>
      </c>
      <c r="AG153" s="114" t="s">
        <v>808</v>
      </c>
      <c r="AH153" s="114" t="s">
        <v>809</v>
      </c>
      <c r="AI153" s="66"/>
      <c r="AJ153" s="66">
        <v>0</v>
      </c>
      <c r="AK153" s="66" t="s">
        <v>810</v>
      </c>
      <c r="AL153" s="66" t="s">
        <v>811</v>
      </c>
      <c r="AN153" s="66">
        <v>1</v>
      </c>
      <c r="AO153" s="66">
        <v>0</v>
      </c>
      <c r="AP153" s="66">
        <v>0</v>
      </c>
      <c r="AQ153" s="66">
        <v>0</v>
      </c>
      <c r="AR153" s="66">
        <v>0</v>
      </c>
      <c r="AS153" s="66">
        <v>0</v>
      </c>
      <c r="AT153" s="97" t="str">
        <f t="shared" si="21"/>
        <v>{s_taskTalk,{199,204}}</v>
      </c>
    </row>
    <row r="154" s="60" customFormat="1" customHeight="1" spans="1:46">
      <c r="A154" s="69">
        <v>7199</v>
      </c>
      <c r="B154" s="71" t="s">
        <v>356</v>
      </c>
      <c r="C154" s="71" t="s">
        <v>812</v>
      </c>
      <c r="D154" s="69">
        <v>2</v>
      </c>
      <c r="E154" s="69">
        <v>1</v>
      </c>
      <c r="F154" s="69">
        <v>77</v>
      </c>
      <c r="G154" s="69">
        <v>200</v>
      </c>
      <c r="H154" s="69">
        <v>3001</v>
      </c>
      <c r="I154" s="69">
        <v>0</v>
      </c>
      <c r="J154" s="79">
        <v>63078</v>
      </c>
      <c r="K154" s="80" t="s">
        <v>813</v>
      </c>
      <c r="L154" s="79">
        <v>63078</v>
      </c>
      <c r="M154" s="80" t="s">
        <v>813</v>
      </c>
      <c r="N154" s="69"/>
      <c r="O154" s="81"/>
      <c r="P154" s="69"/>
      <c r="Q154" s="81">
        <v>15619</v>
      </c>
      <c r="R154" s="69"/>
      <c r="S154" s="69">
        <v>5</v>
      </c>
      <c r="T154" s="69">
        <v>0</v>
      </c>
      <c r="U154" s="69"/>
      <c r="V154" s="69"/>
      <c r="W154" s="69"/>
      <c r="X154" s="89">
        <v>1250</v>
      </c>
      <c r="Y154" s="95">
        <v>50</v>
      </c>
      <c r="Z154" s="95">
        <v>50</v>
      </c>
      <c r="AA154" s="95">
        <v>50</v>
      </c>
      <c r="AB154" s="69"/>
      <c r="AC154" s="69"/>
      <c r="AD154" s="66" t="s">
        <v>814</v>
      </c>
      <c r="AE154" s="70" t="s">
        <v>815</v>
      </c>
      <c r="AF154" s="70" t="s">
        <v>816</v>
      </c>
      <c r="AG154" s="71" t="s">
        <v>817</v>
      </c>
      <c r="AH154" s="66" t="s">
        <v>818</v>
      </c>
      <c r="AI154" s="69"/>
      <c r="AJ154" s="69"/>
      <c r="AK154" s="75" t="s">
        <v>819</v>
      </c>
      <c r="AL154" s="73" t="s">
        <v>820</v>
      </c>
      <c r="AM154" s="73" t="s">
        <v>821</v>
      </c>
      <c r="AN154" s="66">
        <v>1</v>
      </c>
      <c r="AO154" s="66">
        <v>0</v>
      </c>
      <c r="AP154" s="66">
        <v>1</v>
      </c>
      <c r="AQ154" s="66">
        <v>1</v>
      </c>
      <c r="AR154" s="69"/>
      <c r="AS154" s="66">
        <v>0</v>
      </c>
      <c r="AT154" s="97" t="str">
        <f t="shared" si="21"/>
        <v>{s_taskTalk,{63078,63078}}</v>
      </c>
    </row>
    <row r="155" s="62" customFormat="1" customHeight="1" spans="1:46">
      <c r="A155" s="65">
        <v>30022</v>
      </c>
      <c r="B155" s="66"/>
      <c r="C155" s="66" t="s">
        <v>822</v>
      </c>
      <c r="D155" s="66">
        <v>1</v>
      </c>
      <c r="E155" s="66">
        <v>3</v>
      </c>
      <c r="F155" s="66">
        <v>21</v>
      </c>
      <c r="G155" s="66">
        <v>60</v>
      </c>
      <c r="H155" s="66">
        <v>0</v>
      </c>
      <c r="I155" s="66">
        <v>2</v>
      </c>
      <c r="J155" s="74">
        <v>60000</v>
      </c>
      <c r="K155" s="75"/>
      <c r="L155" s="75">
        <v>0</v>
      </c>
      <c r="M155" s="75"/>
      <c r="N155" s="75"/>
      <c r="O155" s="76"/>
      <c r="P155" s="76"/>
      <c r="Q155" s="76"/>
      <c r="R155" s="86"/>
      <c r="S155" s="66">
        <v>1</v>
      </c>
      <c r="T155" s="66">
        <v>1</v>
      </c>
      <c r="U155" s="66"/>
      <c r="V155" s="66">
        <v>5</v>
      </c>
      <c r="W155" s="66"/>
      <c r="X155" s="110">
        <v>0</v>
      </c>
      <c r="Y155" s="66"/>
      <c r="Z155" s="113"/>
      <c r="AA155" s="113"/>
      <c r="AB155" s="66"/>
      <c r="AC155" s="66"/>
      <c r="AD155" s="66" t="s">
        <v>823</v>
      </c>
      <c r="AE155" s="66" t="s">
        <v>824</v>
      </c>
      <c r="AF155" s="66" t="s">
        <v>825</v>
      </c>
      <c r="AG155" s="66" t="s">
        <v>826</v>
      </c>
      <c r="AH155" s="66" t="s">
        <v>827</v>
      </c>
      <c r="AI155" s="66"/>
      <c r="AJ155" s="66">
        <v>0</v>
      </c>
      <c r="AK155" s="66"/>
      <c r="AL155" s="66"/>
      <c r="AM155" s="66"/>
      <c r="AN155" s="66">
        <v>1</v>
      </c>
      <c r="AO155" s="66">
        <v>0</v>
      </c>
      <c r="AP155" s="66">
        <v>0</v>
      </c>
      <c r="AQ155" s="66">
        <v>0</v>
      </c>
      <c r="AR155" s="66">
        <v>0</v>
      </c>
      <c r="AS155" s="66">
        <v>0</v>
      </c>
      <c r="AT155" s="97" t="str">
        <f t="shared" si="21"/>
        <v>{s_taskTalk,{60000,0}}</v>
      </c>
    </row>
    <row r="156" s="62" customFormat="1" customHeight="1" spans="1:46">
      <c r="A156" s="65">
        <v>30023</v>
      </c>
      <c r="B156" s="66"/>
      <c r="C156" s="66" t="s">
        <v>822</v>
      </c>
      <c r="D156" s="66">
        <v>1</v>
      </c>
      <c r="E156" s="66">
        <v>5</v>
      </c>
      <c r="F156" s="66">
        <v>61</v>
      </c>
      <c r="G156" s="66">
        <v>150</v>
      </c>
      <c r="H156" s="66">
        <v>0</v>
      </c>
      <c r="I156" s="66">
        <v>2</v>
      </c>
      <c r="J156" s="74">
        <v>60559</v>
      </c>
      <c r="K156" s="75"/>
      <c r="L156" s="75">
        <v>0</v>
      </c>
      <c r="M156" s="75"/>
      <c r="N156" s="75"/>
      <c r="O156" s="76"/>
      <c r="P156" s="76"/>
      <c r="Q156" s="76"/>
      <c r="R156" s="86"/>
      <c r="S156" s="66">
        <v>1</v>
      </c>
      <c r="T156" s="66">
        <v>1</v>
      </c>
      <c r="U156" s="66"/>
      <c r="V156" s="66">
        <v>5</v>
      </c>
      <c r="W156" s="66"/>
      <c r="X156" s="110">
        <v>0</v>
      </c>
      <c r="Y156" s="66"/>
      <c r="Z156" s="113"/>
      <c r="AA156" s="113"/>
      <c r="AB156" s="66"/>
      <c r="AC156" s="66"/>
      <c r="AD156" s="66" t="s">
        <v>828</v>
      </c>
      <c r="AE156" s="66" t="s">
        <v>829</v>
      </c>
      <c r="AF156" s="66" t="s">
        <v>825</v>
      </c>
      <c r="AG156" s="66" t="s">
        <v>826</v>
      </c>
      <c r="AH156" s="66" t="s">
        <v>827</v>
      </c>
      <c r="AI156" s="66"/>
      <c r="AJ156" s="66">
        <v>0</v>
      </c>
      <c r="AK156" s="66"/>
      <c r="AL156" s="66"/>
      <c r="AM156" s="66"/>
      <c r="AN156" s="66">
        <v>1</v>
      </c>
      <c r="AO156" s="66">
        <v>0</v>
      </c>
      <c r="AP156" s="66">
        <v>0</v>
      </c>
      <c r="AQ156" s="66">
        <v>0</v>
      </c>
      <c r="AR156" s="66">
        <v>0</v>
      </c>
      <c r="AS156" s="66">
        <v>0</v>
      </c>
      <c r="AT156" s="97" t="str">
        <f t="shared" si="21"/>
        <v>{s_taskTalk,{60559,0}}</v>
      </c>
    </row>
    <row r="157" s="63" customFormat="1" customHeight="1" spans="1:46">
      <c r="A157" s="65">
        <v>30026</v>
      </c>
      <c r="B157" s="66"/>
      <c r="C157" s="66" t="s">
        <v>830</v>
      </c>
      <c r="D157" s="66">
        <v>1</v>
      </c>
      <c r="E157" s="66">
        <v>3</v>
      </c>
      <c r="F157" s="66">
        <v>51</v>
      </c>
      <c r="G157" s="66">
        <v>150</v>
      </c>
      <c r="H157" s="66">
        <v>0</v>
      </c>
      <c r="I157" s="66">
        <v>1</v>
      </c>
      <c r="J157" s="74">
        <v>197</v>
      </c>
      <c r="K157" s="75"/>
      <c r="L157" s="75">
        <v>197</v>
      </c>
      <c r="M157" s="75"/>
      <c r="N157" s="75"/>
      <c r="O157" s="76"/>
      <c r="P157" s="76"/>
      <c r="Q157" s="76"/>
      <c r="R157" s="86"/>
      <c r="S157" s="66">
        <v>100</v>
      </c>
      <c r="T157" s="66">
        <v>0</v>
      </c>
      <c r="U157" s="66"/>
      <c r="V157" s="66">
        <v>5</v>
      </c>
      <c r="W157" s="66"/>
      <c r="X157" s="110">
        <v>0</v>
      </c>
      <c r="Y157" s="66"/>
      <c r="Z157" s="113"/>
      <c r="AA157" s="113"/>
      <c r="AB157" s="66"/>
      <c r="AC157" s="66"/>
      <c r="AD157" s="66"/>
      <c r="AE157" s="66" t="s">
        <v>831</v>
      </c>
      <c r="AF157" s="66" t="s">
        <v>832</v>
      </c>
      <c r="AG157" s="66" t="s">
        <v>833</v>
      </c>
      <c r="AH157" s="66" t="s">
        <v>834</v>
      </c>
      <c r="AI157" s="66"/>
      <c r="AJ157" s="66">
        <v>0</v>
      </c>
      <c r="AK157" s="66"/>
      <c r="AL157" s="66" t="s">
        <v>835</v>
      </c>
      <c r="AM157" s="66"/>
      <c r="AN157" s="66">
        <v>1</v>
      </c>
      <c r="AO157" s="66">
        <v>0</v>
      </c>
      <c r="AP157" s="66">
        <v>0</v>
      </c>
      <c r="AQ157" s="66">
        <v>0</v>
      </c>
      <c r="AR157" s="66">
        <v>0</v>
      </c>
      <c r="AS157" s="66">
        <v>0</v>
      </c>
      <c r="AT157" s="97" t="str">
        <f t="shared" si="21"/>
        <v>{s_taskTalk,{197,197}}</v>
      </c>
    </row>
    <row r="158" s="63" customFormat="1" customHeight="1" spans="1:46">
      <c r="A158" s="104">
        <v>30250</v>
      </c>
      <c r="B158" s="105"/>
      <c r="C158" s="105" t="s">
        <v>836</v>
      </c>
      <c r="D158" s="105">
        <v>3</v>
      </c>
      <c r="E158" s="105">
        <v>7</v>
      </c>
      <c r="F158" s="105">
        <v>51</v>
      </c>
      <c r="G158" s="105">
        <v>200</v>
      </c>
      <c r="H158" s="105">
        <v>0</v>
      </c>
      <c r="I158" s="105">
        <v>1</v>
      </c>
      <c r="J158" s="106">
        <v>197</v>
      </c>
      <c r="K158" s="107"/>
      <c r="L158" s="107">
        <v>197</v>
      </c>
      <c r="M158" s="107"/>
      <c r="N158" s="107"/>
      <c r="O158" s="108"/>
      <c r="P158" s="108"/>
      <c r="Q158" s="108"/>
      <c r="R158" s="111"/>
      <c r="S158" s="105">
        <v>100</v>
      </c>
      <c r="T158" s="105">
        <v>0</v>
      </c>
      <c r="U158" s="105"/>
      <c r="V158" s="105">
        <v>0</v>
      </c>
      <c r="W158" s="105"/>
      <c r="X158" s="112">
        <v>0</v>
      </c>
      <c r="Y158" s="105"/>
      <c r="Z158" s="115"/>
      <c r="AA158" s="115"/>
      <c r="AB158" s="105"/>
      <c r="AC158" s="105"/>
      <c r="AD158" s="105"/>
      <c r="AE158" s="105" t="s">
        <v>837</v>
      </c>
      <c r="AF158" s="105" t="s">
        <v>838</v>
      </c>
      <c r="AG158" s="105" t="s">
        <v>839</v>
      </c>
      <c r="AH158" s="105" t="s">
        <v>840</v>
      </c>
      <c r="AI158" s="105"/>
      <c r="AJ158" s="105">
        <v>0</v>
      </c>
      <c r="AK158" s="105"/>
      <c r="AL158" s="105" t="s">
        <v>841</v>
      </c>
      <c r="AM158" s="105"/>
      <c r="AN158" s="105">
        <v>0</v>
      </c>
      <c r="AO158" s="105">
        <v>0</v>
      </c>
      <c r="AP158" s="105">
        <v>0</v>
      </c>
      <c r="AQ158" s="105">
        <v>0</v>
      </c>
      <c r="AR158" s="105">
        <v>0</v>
      </c>
      <c r="AS158" s="105">
        <v>0</v>
      </c>
      <c r="AT158" s="117" t="s">
        <v>842</v>
      </c>
    </row>
    <row r="159" s="60" customFormat="1" customHeight="1" spans="1:46">
      <c r="A159" s="65">
        <v>30003</v>
      </c>
      <c r="B159" s="66"/>
      <c r="C159" s="66" t="s">
        <v>843</v>
      </c>
      <c r="D159" s="66">
        <v>3</v>
      </c>
      <c r="E159" s="66">
        <v>2</v>
      </c>
      <c r="F159" s="66">
        <v>1</v>
      </c>
      <c r="G159" s="66">
        <v>200</v>
      </c>
      <c r="H159" s="66">
        <v>0</v>
      </c>
      <c r="I159" s="66">
        <v>0</v>
      </c>
      <c r="J159" s="74">
        <v>0</v>
      </c>
      <c r="K159" s="75"/>
      <c r="L159" s="75">
        <v>0</v>
      </c>
      <c r="M159" s="75"/>
      <c r="N159" s="75"/>
      <c r="O159" s="76"/>
      <c r="P159" s="76"/>
      <c r="Q159" s="76"/>
      <c r="R159" s="86"/>
      <c r="S159" s="66">
        <v>30</v>
      </c>
      <c r="T159" s="66">
        <v>0</v>
      </c>
      <c r="U159" s="66"/>
      <c r="V159" s="66"/>
      <c r="W159" s="66"/>
      <c r="X159" s="110">
        <v>0</v>
      </c>
      <c r="Y159" s="66">
        <v>0</v>
      </c>
      <c r="Z159" s="113"/>
      <c r="AA159" s="113">
        <v>0</v>
      </c>
      <c r="AB159" s="66"/>
      <c r="AC159" s="66"/>
      <c r="AD159" s="66" t="s">
        <v>844</v>
      </c>
      <c r="AE159" s="66">
        <v>0</v>
      </c>
      <c r="AF159" s="66"/>
      <c r="AG159" s="66"/>
      <c r="AH159" s="66"/>
      <c r="AI159" s="66"/>
      <c r="AJ159" s="66">
        <v>0</v>
      </c>
      <c r="AK159" s="75"/>
      <c r="AL159" s="75"/>
      <c r="AM159" s="66"/>
      <c r="AN159" s="66">
        <v>0</v>
      </c>
      <c r="AO159" s="66">
        <v>0</v>
      </c>
      <c r="AP159" s="66">
        <v>0</v>
      </c>
      <c r="AQ159" s="66">
        <v>0</v>
      </c>
      <c r="AR159" s="66">
        <v>0</v>
      </c>
      <c r="AS159" s="66">
        <v>0</v>
      </c>
      <c r="AT159" s="97" t="str">
        <f t="shared" si="21"/>
        <v>{s_taskTalk,{0,0}}</v>
      </c>
    </row>
    <row r="160" s="62" customFormat="1" customHeight="1" spans="1:46">
      <c r="A160" s="65">
        <v>30063</v>
      </c>
      <c r="B160" s="66"/>
      <c r="C160" s="66" t="s">
        <v>822</v>
      </c>
      <c r="D160" s="66">
        <v>1</v>
      </c>
      <c r="E160" s="66">
        <v>3</v>
      </c>
      <c r="F160" s="66">
        <v>21</v>
      </c>
      <c r="G160" s="66">
        <v>150</v>
      </c>
      <c r="H160" s="66">
        <v>0</v>
      </c>
      <c r="I160" s="66">
        <v>2</v>
      </c>
      <c r="J160" s="74"/>
      <c r="K160" s="75"/>
      <c r="L160" s="75"/>
      <c r="M160" s="75"/>
      <c r="N160" s="75"/>
      <c r="O160" s="76"/>
      <c r="P160" s="76"/>
      <c r="Q160" s="76"/>
      <c r="R160" s="86"/>
      <c r="S160" s="66">
        <v>1</v>
      </c>
      <c r="T160" s="66">
        <v>1</v>
      </c>
      <c r="U160" s="66"/>
      <c r="V160" s="66"/>
      <c r="W160" s="66"/>
      <c r="X160" s="110">
        <v>0</v>
      </c>
      <c r="Y160" s="66"/>
      <c r="Z160" s="113"/>
      <c r="AA160" s="113"/>
      <c r="AB160" s="66"/>
      <c r="AC160" s="66"/>
      <c r="AD160" s="66"/>
      <c r="AE160" s="66"/>
      <c r="AF160" s="66"/>
      <c r="AG160" s="66"/>
      <c r="AH160" s="66"/>
      <c r="AI160" s="66"/>
      <c r="AJ160" s="66">
        <v>0</v>
      </c>
      <c r="AK160" s="66" t="s">
        <v>845</v>
      </c>
      <c r="AL160" s="66" t="s">
        <v>846</v>
      </c>
      <c r="AM160" s="66"/>
      <c r="AN160" s="66">
        <v>0</v>
      </c>
      <c r="AO160" s="66">
        <v>0</v>
      </c>
      <c r="AP160" s="66">
        <v>0</v>
      </c>
      <c r="AQ160" s="66">
        <v>0</v>
      </c>
      <c r="AR160" s="66">
        <v>0</v>
      </c>
      <c r="AS160" s="66">
        <v>0</v>
      </c>
      <c r="AT160" s="97" t="s">
        <v>847</v>
      </c>
    </row>
    <row r="161" s="60" customFormat="1" customHeight="1" spans="1:46">
      <c r="A161" s="69">
        <v>20000</v>
      </c>
      <c r="B161" s="71" t="s">
        <v>94</v>
      </c>
      <c r="C161" s="70" t="s">
        <v>848</v>
      </c>
      <c r="D161" s="69">
        <v>4</v>
      </c>
      <c r="E161" s="69">
        <v>1</v>
      </c>
      <c r="F161" s="69">
        <v>25</v>
      </c>
      <c r="G161" s="69">
        <v>35</v>
      </c>
      <c r="H161" s="69">
        <v>0</v>
      </c>
      <c r="I161" s="69">
        <v>0</v>
      </c>
      <c r="J161" s="81">
        <v>45112</v>
      </c>
      <c r="K161" s="109" t="s">
        <v>849</v>
      </c>
      <c r="L161" s="81">
        <v>45112</v>
      </c>
      <c r="M161" s="109" t="s">
        <v>849</v>
      </c>
      <c r="N161" s="69"/>
      <c r="O161" s="69"/>
      <c r="P161" s="69"/>
      <c r="Q161" s="81">
        <v>15618</v>
      </c>
      <c r="R161" s="69"/>
      <c r="S161" s="69">
        <v>3</v>
      </c>
      <c r="T161" s="69">
        <v>0</v>
      </c>
      <c r="U161" s="69"/>
      <c r="V161" s="69"/>
      <c r="W161" s="69"/>
      <c r="X161" s="89">
        <v>500</v>
      </c>
      <c r="Y161" s="95">
        <v>50</v>
      </c>
      <c r="Z161" s="95">
        <v>50</v>
      </c>
      <c r="AA161" s="95">
        <v>50</v>
      </c>
      <c r="AB161" s="76"/>
      <c r="AC161" s="69"/>
      <c r="AD161" s="73" t="s">
        <v>850</v>
      </c>
      <c r="AE161" s="70" t="s">
        <v>851</v>
      </c>
      <c r="AF161" s="70" t="s">
        <v>852</v>
      </c>
      <c r="AG161" s="70" t="s">
        <v>853</v>
      </c>
      <c r="AH161" s="66" t="s">
        <v>854</v>
      </c>
      <c r="AI161" s="66"/>
      <c r="AJ161" s="66">
        <v>0</v>
      </c>
      <c r="AK161" s="73" t="s">
        <v>855</v>
      </c>
      <c r="AL161" s="73" t="s">
        <v>856</v>
      </c>
      <c r="AM161" s="66"/>
      <c r="AN161" s="69">
        <v>1</v>
      </c>
      <c r="AO161" s="69">
        <v>0</v>
      </c>
      <c r="AP161" s="69">
        <v>1</v>
      </c>
      <c r="AQ161" s="69">
        <v>1</v>
      </c>
      <c r="AR161" s="69">
        <v>0</v>
      </c>
      <c r="AS161" s="69">
        <v>0</v>
      </c>
      <c r="AT161" s="73" t="s">
        <v>857</v>
      </c>
    </row>
    <row r="162" s="60" customFormat="1" customHeight="1" spans="1:46">
      <c r="A162" s="69">
        <v>20001</v>
      </c>
      <c r="B162" s="71" t="s">
        <v>94</v>
      </c>
      <c r="C162" s="70" t="s">
        <v>848</v>
      </c>
      <c r="D162" s="69">
        <v>4</v>
      </c>
      <c r="E162" s="69">
        <v>1</v>
      </c>
      <c r="F162" s="69">
        <v>35</v>
      </c>
      <c r="G162" s="69">
        <v>200</v>
      </c>
      <c r="H162" s="69">
        <v>0</v>
      </c>
      <c r="I162" s="69">
        <v>0</v>
      </c>
      <c r="J162" s="81">
        <v>45112</v>
      </c>
      <c r="K162" s="109" t="s">
        <v>849</v>
      </c>
      <c r="L162" s="81">
        <v>45112</v>
      </c>
      <c r="M162" s="109" t="s">
        <v>849</v>
      </c>
      <c r="N162" s="69"/>
      <c r="O162" s="69"/>
      <c r="P162" s="69"/>
      <c r="Q162" s="81">
        <v>15618</v>
      </c>
      <c r="R162" s="69"/>
      <c r="S162" s="69">
        <v>3</v>
      </c>
      <c r="T162" s="69">
        <v>0</v>
      </c>
      <c r="U162" s="69"/>
      <c r="V162" s="69"/>
      <c r="W162" s="69"/>
      <c r="X162" s="89">
        <v>500</v>
      </c>
      <c r="Y162" s="95">
        <v>50</v>
      </c>
      <c r="Z162" s="95">
        <v>50</v>
      </c>
      <c r="AA162" s="95">
        <v>50</v>
      </c>
      <c r="AB162" s="76"/>
      <c r="AC162" s="69"/>
      <c r="AD162" s="73" t="s">
        <v>850</v>
      </c>
      <c r="AE162" s="70" t="s">
        <v>851</v>
      </c>
      <c r="AF162" s="70" t="s">
        <v>852</v>
      </c>
      <c r="AG162" s="70" t="s">
        <v>853</v>
      </c>
      <c r="AH162" s="66" t="s">
        <v>854</v>
      </c>
      <c r="AI162" s="66"/>
      <c r="AJ162" s="66">
        <v>0</v>
      </c>
      <c r="AK162" s="73" t="s">
        <v>858</v>
      </c>
      <c r="AL162" s="73" t="s">
        <v>859</v>
      </c>
      <c r="AM162" s="66"/>
      <c r="AN162" s="69">
        <v>0</v>
      </c>
      <c r="AO162" s="69">
        <v>0</v>
      </c>
      <c r="AP162" s="69">
        <v>1</v>
      </c>
      <c r="AQ162" s="69">
        <v>1</v>
      </c>
      <c r="AR162" s="69">
        <v>0</v>
      </c>
      <c r="AS162" s="69">
        <v>0</v>
      </c>
      <c r="AT162" s="73" t="s">
        <v>857</v>
      </c>
    </row>
    <row r="163" s="60" customFormat="1" customHeight="1" spans="1:46">
      <c r="A163" s="69">
        <v>20002</v>
      </c>
      <c r="B163" s="73" t="s">
        <v>64</v>
      </c>
      <c r="C163" s="73" t="s">
        <v>860</v>
      </c>
      <c r="D163" s="69">
        <v>4</v>
      </c>
      <c r="E163" s="69">
        <v>3</v>
      </c>
      <c r="F163" s="69">
        <v>25</v>
      </c>
      <c r="G163" s="69">
        <v>35</v>
      </c>
      <c r="H163" s="69">
        <v>0</v>
      </c>
      <c r="I163" s="69">
        <v>0</v>
      </c>
      <c r="J163" s="81">
        <v>45112</v>
      </c>
      <c r="K163" s="109" t="s">
        <v>849</v>
      </c>
      <c r="L163" s="81">
        <v>45112</v>
      </c>
      <c r="M163" s="109" t="s">
        <v>849</v>
      </c>
      <c r="N163" s="69"/>
      <c r="O163" s="79"/>
      <c r="P163" s="69"/>
      <c r="Q163" s="81"/>
      <c r="R163" s="69"/>
      <c r="S163" s="69">
        <v>1</v>
      </c>
      <c r="T163" s="69">
        <v>1</v>
      </c>
      <c r="U163" s="69"/>
      <c r="V163" s="69"/>
      <c r="W163" s="69"/>
      <c r="X163" s="89">
        <v>40000</v>
      </c>
      <c r="Y163" s="69"/>
      <c r="Z163" s="69"/>
      <c r="AA163" s="95">
        <v>50</v>
      </c>
      <c r="AB163" s="69"/>
      <c r="AC163" s="69"/>
      <c r="AD163" s="73" t="s">
        <v>688</v>
      </c>
      <c r="AE163" s="66" t="s">
        <v>689</v>
      </c>
      <c r="AF163" s="66" t="s">
        <v>690</v>
      </c>
      <c r="AG163" s="69"/>
      <c r="AH163" s="66" t="s">
        <v>549</v>
      </c>
      <c r="AI163" s="69"/>
      <c r="AJ163" s="69"/>
      <c r="AK163" s="116" t="s">
        <v>861</v>
      </c>
      <c r="AL163" s="73" t="s">
        <v>862</v>
      </c>
      <c r="AM163" s="69"/>
      <c r="AN163" s="66">
        <v>1</v>
      </c>
      <c r="AO163" s="66">
        <v>0</v>
      </c>
      <c r="AP163" s="66">
        <v>1</v>
      </c>
      <c r="AQ163" s="66">
        <v>1</v>
      </c>
      <c r="AR163" s="69"/>
      <c r="AS163" s="66">
        <v>0</v>
      </c>
      <c r="AT163" s="97" t="str">
        <f t="shared" ref="AT163:AT168" si="22">"{s_taskTalk,{"&amp;J163&amp;","&amp;L163&amp;"}}"</f>
        <v>{s_taskTalk,{45112,45112}}</v>
      </c>
    </row>
    <row r="164" s="60" customFormat="1" customHeight="1" spans="1:46">
      <c r="A164" s="69">
        <v>20003</v>
      </c>
      <c r="B164" s="73" t="s">
        <v>64</v>
      </c>
      <c r="C164" s="73" t="s">
        <v>860</v>
      </c>
      <c r="D164" s="69">
        <v>4</v>
      </c>
      <c r="E164" s="69">
        <v>3</v>
      </c>
      <c r="F164" s="69">
        <v>35</v>
      </c>
      <c r="G164" s="69">
        <v>200</v>
      </c>
      <c r="H164" s="69">
        <v>0</v>
      </c>
      <c r="I164" s="69">
        <v>0</v>
      </c>
      <c r="J164" s="81">
        <v>45112</v>
      </c>
      <c r="K164" s="109" t="s">
        <v>849</v>
      </c>
      <c r="L164" s="81">
        <v>45112</v>
      </c>
      <c r="M164" s="109" t="s">
        <v>849</v>
      </c>
      <c r="N164" s="69"/>
      <c r="O164" s="79"/>
      <c r="P164" s="69"/>
      <c r="Q164" s="81"/>
      <c r="R164" s="69"/>
      <c r="S164" s="69">
        <v>1</v>
      </c>
      <c r="T164" s="69">
        <v>1</v>
      </c>
      <c r="U164" s="69"/>
      <c r="V164" s="69"/>
      <c r="W164" s="69"/>
      <c r="X164" s="89">
        <v>40000</v>
      </c>
      <c r="Y164" s="69"/>
      <c r="Z164" s="69"/>
      <c r="AA164" s="95">
        <v>50</v>
      </c>
      <c r="AB164" s="69"/>
      <c r="AC164" s="69"/>
      <c r="AD164" s="73" t="s">
        <v>688</v>
      </c>
      <c r="AE164" s="66" t="s">
        <v>689</v>
      </c>
      <c r="AF164" s="66" t="s">
        <v>690</v>
      </c>
      <c r="AG164" s="69"/>
      <c r="AH164" s="66" t="s">
        <v>549</v>
      </c>
      <c r="AI164" s="69"/>
      <c r="AJ164" s="69"/>
      <c r="AK164" s="73" t="s">
        <v>863</v>
      </c>
      <c r="AL164" s="73" t="s">
        <v>864</v>
      </c>
      <c r="AM164" s="69"/>
      <c r="AN164" s="66">
        <v>1</v>
      </c>
      <c r="AO164" s="66">
        <v>0</v>
      </c>
      <c r="AP164" s="66">
        <v>1</v>
      </c>
      <c r="AQ164" s="66">
        <v>1</v>
      </c>
      <c r="AR164" s="69"/>
      <c r="AS164" s="66">
        <v>0</v>
      </c>
      <c r="AT164" s="97" t="str">
        <f t="shared" si="22"/>
        <v>{s_taskTalk,{45112,45112}}</v>
      </c>
    </row>
    <row r="165" s="60" customFormat="1" customHeight="1" spans="1:46">
      <c r="A165" s="69">
        <v>20004</v>
      </c>
      <c r="B165" s="73" t="s">
        <v>720</v>
      </c>
      <c r="C165" s="73" t="s">
        <v>865</v>
      </c>
      <c r="D165" s="69">
        <v>4</v>
      </c>
      <c r="E165" s="69">
        <v>2</v>
      </c>
      <c r="F165" s="69">
        <v>25</v>
      </c>
      <c r="G165" s="69">
        <v>35</v>
      </c>
      <c r="H165" s="69">
        <v>0</v>
      </c>
      <c r="I165" s="69">
        <v>0</v>
      </c>
      <c r="J165" s="81">
        <v>45112</v>
      </c>
      <c r="K165" s="109" t="s">
        <v>849</v>
      </c>
      <c r="L165" s="81">
        <v>45112</v>
      </c>
      <c r="M165" s="109" t="s">
        <v>849</v>
      </c>
      <c r="N165" s="69"/>
      <c r="O165" s="69"/>
      <c r="P165" s="69"/>
      <c r="Q165" s="81"/>
      <c r="R165" s="69"/>
      <c r="S165" s="69">
        <v>1</v>
      </c>
      <c r="T165" s="69">
        <v>0</v>
      </c>
      <c r="U165" s="69"/>
      <c r="V165" s="69"/>
      <c r="W165" s="69"/>
      <c r="X165" s="89">
        <v>60000</v>
      </c>
      <c r="Y165" s="69"/>
      <c r="Z165" s="69"/>
      <c r="AA165" s="95">
        <v>50</v>
      </c>
      <c r="AB165" s="69"/>
      <c r="AC165" s="69"/>
      <c r="AD165" s="73" t="s">
        <v>722</v>
      </c>
      <c r="AE165" s="66" t="s">
        <v>723</v>
      </c>
      <c r="AF165" s="66" t="s">
        <v>724</v>
      </c>
      <c r="AG165" s="69"/>
      <c r="AH165" s="66" t="s">
        <v>725</v>
      </c>
      <c r="AI165" s="69"/>
      <c r="AJ165" s="69"/>
      <c r="AK165" s="75" t="s">
        <v>726</v>
      </c>
      <c r="AL165" s="73" t="s">
        <v>866</v>
      </c>
      <c r="AM165" s="69"/>
      <c r="AN165" s="66">
        <v>1</v>
      </c>
      <c r="AO165" s="66">
        <v>0</v>
      </c>
      <c r="AP165" s="66">
        <v>1</v>
      </c>
      <c r="AQ165" s="66">
        <v>1</v>
      </c>
      <c r="AR165" s="69"/>
      <c r="AS165" s="66">
        <v>0</v>
      </c>
      <c r="AT165" s="97" t="str">
        <f t="shared" si="22"/>
        <v>{s_taskTalk,{45112,45112}}</v>
      </c>
    </row>
    <row r="166" s="60" customFormat="1" customHeight="1" spans="1:46">
      <c r="A166" s="69">
        <v>20005</v>
      </c>
      <c r="B166" s="73" t="s">
        <v>720</v>
      </c>
      <c r="C166" s="73" t="s">
        <v>865</v>
      </c>
      <c r="D166" s="69">
        <v>4</v>
      </c>
      <c r="E166" s="69">
        <v>2</v>
      </c>
      <c r="F166" s="69">
        <v>35</v>
      </c>
      <c r="G166" s="69">
        <v>200</v>
      </c>
      <c r="H166" s="69">
        <v>0</v>
      </c>
      <c r="I166" s="69">
        <v>0</v>
      </c>
      <c r="J166" s="81">
        <v>45112</v>
      </c>
      <c r="K166" s="109" t="s">
        <v>849</v>
      </c>
      <c r="L166" s="81">
        <v>45112</v>
      </c>
      <c r="M166" s="109" t="s">
        <v>849</v>
      </c>
      <c r="N166" s="69"/>
      <c r="O166" s="69"/>
      <c r="P166" s="69"/>
      <c r="Q166" s="81"/>
      <c r="R166" s="69"/>
      <c r="S166" s="69">
        <v>1</v>
      </c>
      <c r="T166" s="69">
        <v>0</v>
      </c>
      <c r="U166" s="69"/>
      <c r="V166" s="69"/>
      <c r="W166" s="69"/>
      <c r="X166" s="89">
        <v>60000</v>
      </c>
      <c r="Y166" s="69"/>
      <c r="Z166" s="69"/>
      <c r="AA166" s="95">
        <v>50</v>
      </c>
      <c r="AB166" s="69"/>
      <c r="AC166" s="69"/>
      <c r="AD166" s="73" t="s">
        <v>722</v>
      </c>
      <c r="AE166" s="66" t="s">
        <v>723</v>
      </c>
      <c r="AF166" s="66" t="s">
        <v>724</v>
      </c>
      <c r="AG166" s="69"/>
      <c r="AH166" s="66" t="s">
        <v>725</v>
      </c>
      <c r="AI166" s="69"/>
      <c r="AJ166" s="69"/>
      <c r="AK166" s="75" t="s">
        <v>726</v>
      </c>
      <c r="AL166" s="73" t="s">
        <v>867</v>
      </c>
      <c r="AM166" s="69"/>
      <c r="AN166" s="66">
        <v>1</v>
      </c>
      <c r="AO166" s="66">
        <v>0</v>
      </c>
      <c r="AP166" s="66">
        <v>1</v>
      </c>
      <c r="AQ166" s="66">
        <v>1</v>
      </c>
      <c r="AR166" s="69"/>
      <c r="AS166" s="66">
        <v>0</v>
      </c>
      <c r="AT166" s="97" t="str">
        <f t="shared" si="22"/>
        <v>{s_taskTalk,{45112,45112}}</v>
      </c>
    </row>
    <row r="167" s="60" customFormat="1" customHeight="1" spans="1:46">
      <c r="A167" s="69">
        <v>20006</v>
      </c>
      <c r="B167" s="73" t="s">
        <v>55</v>
      </c>
      <c r="C167" s="73" t="s">
        <v>868</v>
      </c>
      <c r="D167" s="69">
        <v>4</v>
      </c>
      <c r="E167" s="69">
        <v>3</v>
      </c>
      <c r="F167" s="69">
        <v>25</v>
      </c>
      <c r="G167" s="69">
        <v>35</v>
      </c>
      <c r="H167" s="69">
        <v>0</v>
      </c>
      <c r="I167" s="69">
        <v>0</v>
      </c>
      <c r="J167" s="81">
        <v>45112</v>
      </c>
      <c r="K167" s="109" t="s">
        <v>849</v>
      </c>
      <c r="L167" s="81">
        <v>45112</v>
      </c>
      <c r="M167" s="109" t="s">
        <v>849</v>
      </c>
      <c r="N167" s="69"/>
      <c r="O167" s="81">
        <v>45112</v>
      </c>
      <c r="P167" s="69"/>
      <c r="Q167" s="81">
        <v>45112</v>
      </c>
      <c r="R167" s="69"/>
      <c r="S167" s="69">
        <v>1</v>
      </c>
      <c r="T167" s="69">
        <v>0</v>
      </c>
      <c r="U167" s="69"/>
      <c r="V167" s="69"/>
      <c r="W167" s="69"/>
      <c r="X167" s="89">
        <v>40000</v>
      </c>
      <c r="Y167" s="69"/>
      <c r="Z167" s="69"/>
      <c r="AA167" s="95">
        <v>50</v>
      </c>
      <c r="AB167" s="69"/>
      <c r="AC167" s="69"/>
      <c r="AD167" s="73" t="s">
        <v>646</v>
      </c>
      <c r="AE167" s="66" t="s">
        <v>869</v>
      </c>
      <c r="AF167" s="66" t="s">
        <v>648</v>
      </c>
      <c r="AG167" s="69"/>
      <c r="AH167" s="66" t="s">
        <v>870</v>
      </c>
      <c r="AI167" s="69"/>
      <c r="AJ167" s="69"/>
      <c r="AK167" s="73" t="s">
        <v>871</v>
      </c>
      <c r="AL167" s="73" t="s">
        <v>872</v>
      </c>
      <c r="AM167" s="69"/>
      <c r="AN167" s="66">
        <v>1</v>
      </c>
      <c r="AO167" s="66">
        <v>0</v>
      </c>
      <c r="AP167" s="66">
        <v>1</v>
      </c>
      <c r="AQ167" s="66">
        <v>1</v>
      </c>
      <c r="AR167" s="69"/>
      <c r="AS167" s="66">
        <v>0</v>
      </c>
      <c r="AT167" s="97" t="str">
        <f t="shared" si="22"/>
        <v>{s_taskTalk,{45112,45112}}</v>
      </c>
    </row>
    <row r="168" s="60" customFormat="1" customHeight="1" spans="1:46">
      <c r="A168" s="69">
        <v>20007</v>
      </c>
      <c r="B168" s="73" t="s">
        <v>55</v>
      </c>
      <c r="C168" s="73" t="s">
        <v>868</v>
      </c>
      <c r="D168" s="69">
        <v>4</v>
      </c>
      <c r="E168" s="69">
        <v>3</v>
      </c>
      <c r="F168" s="69">
        <v>35</v>
      </c>
      <c r="G168" s="69">
        <v>200</v>
      </c>
      <c r="H168" s="69">
        <v>0</v>
      </c>
      <c r="I168" s="69">
        <v>0</v>
      </c>
      <c r="J168" s="81">
        <v>45112</v>
      </c>
      <c r="K168" s="109" t="s">
        <v>849</v>
      </c>
      <c r="L168" s="81">
        <v>45112</v>
      </c>
      <c r="M168" s="109" t="s">
        <v>849</v>
      </c>
      <c r="N168" s="69"/>
      <c r="O168" s="81">
        <v>45112</v>
      </c>
      <c r="P168" s="69"/>
      <c r="Q168" s="81">
        <v>45112</v>
      </c>
      <c r="R168" s="69"/>
      <c r="S168" s="69">
        <v>1</v>
      </c>
      <c r="T168" s="69">
        <v>0</v>
      </c>
      <c r="U168" s="69"/>
      <c r="V168" s="69"/>
      <c r="W168" s="69"/>
      <c r="X168" s="89">
        <v>40000</v>
      </c>
      <c r="Y168" s="69"/>
      <c r="Z168" s="69"/>
      <c r="AA168" s="95">
        <v>50</v>
      </c>
      <c r="AB168" s="69"/>
      <c r="AC168" s="69"/>
      <c r="AD168" s="73" t="s">
        <v>646</v>
      </c>
      <c r="AE168" s="66" t="s">
        <v>869</v>
      </c>
      <c r="AF168" s="66" t="s">
        <v>648</v>
      </c>
      <c r="AG168" s="69"/>
      <c r="AH168" s="66" t="s">
        <v>870</v>
      </c>
      <c r="AI168" s="69"/>
      <c r="AJ168" s="69"/>
      <c r="AK168" s="73" t="s">
        <v>873</v>
      </c>
      <c r="AL168" s="73" t="s">
        <v>874</v>
      </c>
      <c r="AM168" s="69"/>
      <c r="AN168" s="66">
        <v>1</v>
      </c>
      <c r="AO168" s="66">
        <v>0</v>
      </c>
      <c r="AP168" s="66">
        <v>1</v>
      </c>
      <c r="AQ168" s="66">
        <v>1</v>
      </c>
      <c r="AR168" s="69"/>
      <c r="AS168" s="66">
        <v>0</v>
      </c>
      <c r="AT168" s="97" t="str">
        <f t="shared" si="22"/>
        <v>{s_taskTalk,{45112,45112}}</v>
      </c>
    </row>
    <row r="169" s="60" customFormat="1" customHeight="1" spans="1:46">
      <c r="A169" s="69">
        <v>20008</v>
      </c>
      <c r="B169" s="73" t="s">
        <v>614</v>
      </c>
      <c r="C169" s="73" t="s">
        <v>875</v>
      </c>
      <c r="D169" s="69">
        <v>4</v>
      </c>
      <c r="E169" s="69">
        <v>3</v>
      </c>
      <c r="F169" s="69">
        <v>25</v>
      </c>
      <c r="G169" s="69">
        <v>35</v>
      </c>
      <c r="H169" s="69">
        <v>0</v>
      </c>
      <c r="I169" s="69">
        <v>0</v>
      </c>
      <c r="J169" s="81">
        <v>45112</v>
      </c>
      <c r="K169" s="109" t="s">
        <v>849</v>
      </c>
      <c r="L169" s="81">
        <v>45112</v>
      </c>
      <c r="M169" s="109" t="s">
        <v>849</v>
      </c>
      <c r="N169" s="69"/>
      <c r="O169" s="79"/>
      <c r="P169" s="69"/>
      <c r="Q169" s="81">
        <v>15602</v>
      </c>
      <c r="R169" s="69"/>
      <c r="S169" s="69">
        <v>12</v>
      </c>
      <c r="T169" s="69">
        <v>0</v>
      </c>
      <c r="U169" s="69"/>
      <c r="V169" s="69"/>
      <c r="W169" s="69"/>
      <c r="X169" s="89">
        <v>60000</v>
      </c>
      <c r="Y169" s="69"/>
      <c r="Z169" s="69"/>
      <c r="AA169" s="95">
        <v>50</v>
      </c>
      <c r="AB169" s="69"/>
      <c r="AC169" s="69"/>
      <c r="AD169" s="73" t="s">
        <v>660</v>
      </c>
      <c r="AE169" s="66" t="s">
        <v>661</v>
      </c>
      <c r="AF169" s="66" t="s">
        <v>662</v>
      </c>
      <c r="AG169" s="69"/>
      <c r="AH169" s="66" t="s">
        <v>876</v>
      </c>
      <c r="AI169" s="69"/>
      <c r="AJ169" s="69"/>
      <c r="AK169" s="73" t="s">
        <v>877</v>
      </c>
      <c r="AL169" s="73" t="s">
        <v>878</v>
      </c>
      <c r="AM169" s="69"/>
      <c r="AN169" s="66">
        <v>1</v>
      </c>
      <c r="AO169" s="66">
        <v>0</v>
      </c>
      <c r="AP169" s="66">
        <v>1</v>
      </c>
      <c r="AQ169" s="66">
        <v>1</v>
      </c>
      <c r="AR169" s="69"/>
      <c r="AS169" s="66">
        <v>0</v>
      </c>
      <c r="AT169" s="73" t="s">
        <v>879</v>
      </c>
    </row>
    <row r="170" s="60" customFormat="1" customHeight="1" spans="1:46">
      <c r="A170" s="69">
        <v>20009</v>
      </c>
      <c r="B170" s="73" t="s">
        <v>614</v>
      </c>
      <c r="C170" s="73" t="s">
        <v>880</v>
      </c>
      <c r="D170" s="69">
        <v>4</v>
      </c>
      <c r="E170" s="69">
        <v>2</v>
      </c>
      <c r="F170" s="69">
        <v>35</v>
      </c>
      <c r="G170" s="69">
        <v>200</v>
      </c>
      <c r="H170" s="69">
        <v>0</v>
      </c>
      <c r="I170" s="69">
        <v>0</v>
      </c>
      <c r="J170" s="81">
        <v>45112</v>
      </c>
      <c r="K170" s="109" t="s">
        <v>849</v>
      </c>
      <c r="L170" s="81">
        <v>45112</v>
      </c>
      <c r="M170" s="109" t="s">
        <v>849</v>
      </c>
      <c r="N170" s="69"/>
      <c r="O170" s="69"/>
      <c r="P170" s="69"/>
      <c r="Q170" s="81">
        <v>15598</v>
      </c>
      <c r="R170" s="69"/>
      <c r="S170" s="69">
        <v>15</v>
      </c>
      <c r="T170" s="69">
        <v>0</v>
      </c>
      <c r="U170" s="69"/>
      <c r="V170" s="69"/>
      <c r="W170" s="69"/>
      <c r="X170" s="89">
        <v>80000</v>
      </c>
      <c r="Y170" s="69"/>
      <c r="Z170" s="69"/>
      <c r="AA170" s="95">
        <v>50</v>
      </c>
      <c r="AB170" s="69"/>
      <c r="AC170" s="69"/>
      <c r="AD170" s="73" t="s">
        <v>701</v>
      </c>
      <c r="AE170" s="73" t="s">
        <v>702</v>
      </c>
      <c r="AF170" s="73" t="s">
        <v>703</v>
      </c>
      <c r="AG170" s="69"/>
      <c r="AH170" s="73" t="s">
        <v>704</v>
      </c>
      <c r="AI170" s="69"/>
      <c r="AJ170" s="69"/>
      <c r="AK170" s="73" t="s">
        <v>881</v>
      </c>
      <c r="AL170" s="73" t="s">
        <v>882</v>
      </c>
      <c r="AM170" s="69"/>
      <c r="AN170" s="69">
        <v>1</v>
      </c>
      <c r="AO170" s="69">
        <v>0</v>
      </c>
      <c r="AP170" s="69">
        <v>1</v>
      </c>
      <c r="AQ170" s="69">
        <v>1</v>
      </c>
      <c r="AR170" s="69">
        <v>0</v>
      </c>
      <c r="AS170" s="69">
        <v>0</v>
      </c>
      <c r="AT170" s="73" t="s">
        <v>883</v>
      </c>
    </row>
  </sheetData>
  <dataValidations count="1">
    <dataValidation type="whole" operator="lessThan" allowBlank="1" showInputMessage="1" showErrorMessage="1" sqref="J2 L2 J3 L3 Q3 J4 L4 Q4 J5 L5 Q5 J6 L6 Q6 J7 L7 Q7 J8 L8 J9 Q12 J15 L15 J16 J20 J21 J22 L22 J23 L23 J24 L24 J25 L25 J26 L26 J27 L27 J28 L28 J29 L29 Q29 J30 L30 Q30 J31 L31 O31 J32 L32 J33 L33 J34 L34 J35 L35 Q67 J154 L154 O154 Q154 J10:J11 J12:J14 J17:J19 J36:J66 J69:J95 J161:J170 L9:L11 L12:L14 L16:L21 L36:L66 L68:L95 L161:L170 O36:O63 O70:O77 O83:O89 O163:O164 O167:O169 Q14:Q16 Q18:Q28 Q31:Q35 Q36:Q65 Q70:Q89 Q91:Q95 Q161:Q170">
      <formula1>65535</formula1>
    </dataValidation>
  </dataValidations>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12"/>
  <sheetViews>
    <sheetView workbookViewId="0">
      <selection activeCell="B18" sqref="B18"/>
    </sheetView>
  </sheetViews>
  <sheetFormatPr defaultColWidth="9" defaultRowHeight="14.25" outlineLevelCol="2"/>
  <cols>
    <col min="1" max="1" width="13.875" style="56" customWidth="1"/>
    <col min="2" max="2" width="91.25" style="56" customWidth="1"/>
    <col min="3" max="3" width="38.875" style="56" customWidth="1"/>
    <col min="4" max="4" width="12.5" style="56" customWidth="1"/>
    <col min="5" max="16384" width="9" style="56"/>
  </cols>
  <sheetData>
    <row r="1" spans="1:2">
      <c r="A1" s="57" t="s">
        <v>884</v>
      </c>
      <c r="B1" s="56" t="s">
        <v>885</v>
      </c>
    </row>
    <row r="2" spans="2:3">
      <c r="B2" s="56" t="s">
        <v>886</v>
      </c>
      <c r="C2" s="58"/>
    </row>
    <row r="3" spans="2:2">
      <c r="B3" s="56" t="s">
        <v>887</v>
      </c>
    </row>
    <row r="4" spans="2:2">
      <c r="B4" s="56" t="s">
        <v>888</v>
      </c>
    </row>
    <row r="5" ht="114" spans="1:2">
      <c r="A5" s="56" t="s">
        <v>889</v>
      </c>
      <c r="B5" s="59" t="s">
        <v>890</v>
      </c>
    </row>
    <row r="6" spans="1:2">
      <c r="A6" s="56" t="s">
        <v>891</v>
      </c>
      <c r="B6" s="56" t="s">
        <v>892</v>
      </c>
    </row>
    <row r="7" ht="85.5" spans="1:2">
      <c r="A7" s="56" t="s">
        <v>893</v>
      </c>
      <c r="B7" s="58" t="s">
        <v>894</v>
      </c>
    </row>
    <row r="8" spans="1:2">
      <c r="A8" s="56" t="s">
        <v>895</v>
      </c>
      <c r="B8" s="56" t="s">
        <v>896</v>
      </c>
    </row>
    <row r="9" spans="1:2">
      <c r="A9" s="56" t="s">
        <v>897</v>
      </c>
      <c r="B9" s="56">
        <v>1</v>
      </c>
    </row>
    <row r="10" spans="1:2">
      <c r="A10" s="56" t="s">
        <v>41</v>
      </c>
      <c r="B10" s="56" t="s">
        <v>898</v>
      </c>
    </row>
    <row r="11" spans="1:2">
      <c r="A11" s="56" t="s">
        <v>42</v>
      </c>
      <c r="B11" s="58" t="s">
        <v>899</v>
      </c>
    </row>
    <row r="12" spans="1:2">
      <c r="A12" s="56" t="s">
        <v>44</v>
      </c>
      <c r="B12" s="56" t="s">
        <v>900</v>
      </c>
    </row>
  </sheetData>
  <pageMargins left="0.75" right="0.75" top="1" bottom="1" header="0.5" footer="0.5"/>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5:C17"/>
  <sheetViews>
    <sheetView workbookViewId="0">
      <selection activeCell="A18" sqref="$A18:$XFD18"/>
    </sheetView>
  </sheetViews>
  <sheetFormatPr defaultColWidth="9" defaultRowHeight="14.25" outlineLevelCol="2"/>
  <cols>
    <col min="1" max="1" width="70.625" style="55" customWidth="1"/>
    <col min="2" max="16384" width="9" style="55"/>
  </cols>
  <sheetData>
    <row r="5" spans="1:3">
      <c r="A5" s="55" t="s">
        <v>901</v>
      </c>
      <c r="C5" s="55" t="s">
        <v>29</v>
      </c>
    </row>
    <row r="6" spans="1:3">
      <c r="A6" s="55" t="s">
        <v>902</v>
      </c>
      <c r="B6" s="55" t="s">
        <v>64</v>
      </c>
      <c r="C6" s="55" t="s">
        <v>29</v>
      </c>
    </row>
    <row r="7" spans="1:3">
      <c r="A7" s="55" t="s">
        <v>903</v>
      </c>
      <c r="C7" s="55" t="s">
        <v>29</v>
      </c>
    </row>
    <row r="8" spans="1:3">
      <c r="A8" s="55" t="s">
        <v>904</v>
      </c>
      <c r="B8" s="55" t="s">
        <v>64</v>
      </c>
      <c r="C8" s="55" t="s">
        <v>29</v>
      </c>
    </row>
    <row r="9" spans="1:3">
      <c r="A9" s="55" t="s">
        <v>905</v>
      </c>
      <c r="B9" s="55" t="s">
        <v>64</v>
      </c>
      <c r="C9" s="55" t="s">
        <v>29</v>
      </c>
    </row>
    <row r="10" spans="1:3">
      <c r="A10" s="55" t="s">
        <v>906</v>
      </c>
      <c r="B10" s="55" t="s">
        <v>64</v>
      </c>
      <c r="C10" s="55" t="s">
        <v>29</v>
      </c>
    </row>
    <row r="11" spans="1:3">
      <c r="A11" s="55" t="s">
        <v>907</v>
      </c>
      <c r="B11" s="55" t="s">
        <v>64</v>
      </c>
      <c r="C11" s="55" t="s">
        <v>29</v>
      </c>
    </row>
    <row r="12" spans="1:3">
      <c r="A12" s="55" t="s">
        <v>908</v>
      </c>
      <c r="C12" s="55" t="s">
        <v>29</v>
      </c>
    </row>
    <row r="13" spans="1:3">
      <c r="A13" s="55" t="s">
        <v>909</v>
      </c>
      <c r="C13" s="55" t="s">
        <v>29</v>
      </c>
    </row>
    <row r="14" spans="1:3">
      <c r="A14" s="55" t="s">
        <v>910</v>
      </c>
      <c r="B14" s="55" t="s">
        <v>64</v>
      </c>
      <c r="C14" s="55" t="s">
        <v>29</v>
      </c>
    </row>
    <row r="15" spans="1:3">
      <c r="A15" s="55" t="s">
        <v>911</v>
      </c>
      <c r="B15" s="55" t="s">
        <v>64</v>
      </c>
      <c r="C15" s="55" t="s">
        <v>29</v>
      </c>
    </row>
    <row r="16" spans="1:3">
      <c r="A16" s="55" t="s">
        <v>912</v>
      </c>
      <c r="B16" s="55" t="s">
        <v>64</v>
      </c>
      <c r="C16" s="55" t="s">
        <v>29</v>
      </c>
    </row>
    <row r="17" spans="1:3">
      <c r="A17" s="55" t="s">
        <v>913</v>
      </c>
      <c r="C17" s="55" t="s">
        <v>914</v>
      </c>
    </row>
  </sheetData>
  <pageMargins left="0.75" right="0.75" top="1" bottom="1" header="0.5" footer="0.5"/>
  <pageSetup paperSize="9"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152"/>
  <sheetViews>
    <sheetView workbookViewId="0">
      <selection activeCell="F9" sqref="F9"/>
    </sheetView>
  </sheetViews>
  <sheetFormatPr defaultColWidth="9" defaultRowHeight="13.5" outlineLevelCol="4"/>
  <cols>
    <col min="3" max="3" width="11" customWidth="1"/>
  </cols>
  <sheetData>
    <row r="1" ht="14.25" spans="1:4">
      <c r="A1" t="s">
        <v>915</v>
      </c>
      <c r="B1" s="40" t="s">
        <v>916</v>
      </c>
      <c r="C1" s="1" t="s">
        <v>917</v>
      </c>
      <c r="D1" s="1" t="s">
        <v>918</v>
      </c>
    </row>
    <row r="2" ht="16.5" spans="1:5">
      <c r="A2">
        <v>1</v>
      </c>
      <c r="B2" s="41">
        <v>660</v>
      </c>
      <c r="C2" s="54" t="e">
        <f>COUNTIF(#REF!,A2)</f>
        <v>#REF!</v>
      </c>
      <c r="D2" t="e">
        <f>ROUNDDOWN(B2/C2,0)</f>
        <v>#REF!</v>
      </c>
      <c r="E2" s="54"/>
    </row>
    <row r="3" ht="16.5" spans="1:5">
      <c r="A3">
        <v>2</v>
      </c>
      <c r="B3" s="41">
        <v>770</v>
      </c>
      <c r="C3" s="54" t="e">
        <f>COUNTIF(#REF!,A3)</f>
        <v>#REF!</v>
      </c>
      <c r="D3" t="e">
        <f t="shared" ref="D3:D22" si="0">ROUNDDOWN(B3/C3,0)</f>
        <v>#REF!</v>
      </c>
      <c r="E3" s="54"/>
    </row>
    <row r="4" ht="16.5" spans="1:5">
      <c r="A4">
        <v>3</v>
      </c>
      <c r="B4" s="41">
        <v>910</v>
      </c>
      <c r="C4" s="54" t="e">
        <f>COUNTIF(#REF!,A4)</f>
        <v>#REF!</v>
      </c>
      <c r="D4" t="e">
        <f t="shared" si="0"/>
        <v>#REF!</v>
      </c>
      <c r="E4" s="54"/>
    </row>
    <row r="5" ht="16.5" spans="1:5">
      <c r="A5">
        <v>4</v>
      </c>
      <c r="B5" s="41">
        <v>1070</v>
      </c>
      <c r="C5" s="54" t="e">
        <f>COUNTIF(#REF!,A5)</f>
        <v>#REF!</v>
      </c>
      <c r="D5" t="e">
        <f t="shared" si="0"/>
        <v>#REF!</v>
      </c>
      <c r="E5" s="54"/>
    </row>
    <row r="6" ht="16.5" spans="1:5">
      <c r="A6">
        <v>5</v>
      </c>
      <c r="B6" s="41">
        <v>1250</v>
      </c>
      <c r="C6" s="54">
        <v>3</v>
      </c>
      <c r="D6">
        <f t="shared" si="0"/>
        <v>416</v>
      </c>
      <c r="E6" s="54"/>
    </row>
    <row r="7" ht="16.5" spans="1:5">
      <c r="A7">
        <v>6</v>
      </c>
      <c r="B7" s="41">
        <v>1480</v>
      </c>
      <c r="C7" s="54" t="e">
        <f>COUNTIF(#REF!,A7)</f>
        <v>#REF!</v>
      </c>
      <c r="D7" t="e">
        <f t="shared" si="0"/>
        <v>#REF!</v>
      </c>
      <c r="E7" s="54"/>
    </row>
    <row r="8" ht="16.5" spans="1:5">
      <c r="A8">
        <v>7</v>
      </c>
      <c r="B8" s="41">
        <v>1740</v>
      </c>
      <c r="C8" s="54" t="e">
        <f>COUNTIF(#REF!,A8)</f>
        <v>#REF!</v>
      </c>
      <c r="D8" t="e">
        <f t="shared" si="0"/>
        <v>#REF!</v>
      </c>
      <c r="E8" s="54"/>
    </row>
    <row r="9" ht="16.5" spans="1:5">
      <c r="A9">
        <v>8</v>
      </c>
      <c r="B9" s="41">
        <v>2040</v>
      </c>
      <c r="C9" s="54" t="e">
        <f>COUNTIF(#REF!,A9)</f>
        <v>#REF!</v>
      </c>
      <c r="D9" t="e">
        <f t="shared" si="0"/>
        <v>#REF!</v>
      </c>
      <c r="E9" s="54"/>
    </row>
    <row r="10" ht="16.5" spans="1:5">
      <c r="A10">
        <v>9</v>
      </c>
      <c r="B10" s="41">
        <v>2400</v>
      </c>
      <c r="C10" s="54" t="e">
        <f>COUNTIF(#REF!,A10)</f>
        <v>#REF!</v>
      </c>
      <c r="D10" t="e">
        <f t="shared" si="0"/>
        <v>#REF!</v>
      </c>
      <c r="E10" s="54"/>
    </row>
    <row r="11" ht="16.5" spans="1:5">
      <c r="A11">
        <v>10</v>
      </c>
      <c r="B11" s="41">
        <v>2830</v>
      </c>
      <c r="C11" s="54" t="e">
        <f>COUNTIF(#REF!,A11)</f>
        <v>#REF!</v>
      </c>
      <c r="D11" t="e">
        <f t="shared" si="0"/>
        <v>#REF!</v>
      </c>
      <c r="E11" s="54"/>
    </row>
    <row r="12" ht="16.5" spans="1:5">
      <c r="A12">
        <v>11</v>
      </c>
      <c r="B12" s="41">
        <v>3320</v>
      </c>
      <c r="C12" s="54">
        <v>4</v>
      </c>
      <c r="D12">
        <f t="shared" si="0"/>
        <v>830</v>
      </c>
      <c r="E12" s="54"/>
    </row>
    <row r="13" ht="16.5" spans="1:5">
      <c r="A13">
        <v>12</v>
      </c>
      <c r="B13" s="41">
        <v>3910</v>
      </c>
      <c r="C13" s="54" t="e">
        <f>COUNTIF(#REF!,A13)</f>
        <v>#REF!</v>
      </c>
      <c r="D13" t="e">
        <f t="shared" si="0"/>
        <v>#REF!</v>
      </c>
      <c r="E13" s="54"/>
    </row>
    <row r="14" ht="16.5" spans="1:5">
      <c r="A14" s="42">
        <v>13</v>
      </c>
      <c r="B14" s="43">
        <v>4600</v>
      </c>
      <c r="C14" s="54">
        <v>4</v>
      </c>
      <c r="D14">
        <f t="shared" si="0"/>
        <v>1150</v>
      </c>
      <c r="E14" s="54"/>
    </row>
    <row r="15" ht="16.5" spans="1:5">
      <c r="A15" s="42">
        <v>14</v>
      </c>
      <c r="B15" s="43">
        <v>5410</v>
      </c>
      <c r="C15" s="54" t="e">
        <f>COUNTIF(#REF!,A15)</f>
        <v>#REF!</v>
      </c>
      <c r="D15" t="e">
        <f t="shared" si="0"/>
        <v>#REF!</v>
      </c>
      <c r="E15" s="54"/>
    </row>
    <row r="16" ht="16.5" spans="1:5">
      <c r="A16" s="42">
        <v>15</v>
      </c>
      <c r="B16" s="43">
        <v>6370</v>
      </c>
      <c r="C16" s="54" t="e">
        <f>COUNTIF(#REF!,A16)</f>
        <v>#REF!</v>
      </c>
      <c r="D16" t="e">
        <f t="shared" si="0"/>
        <v>#REF!</v>
      </c>
      <c r="E16" s="54"/>
    </row>
    <row r="17" ht="16.5" spans="1:5">
      <c r="A17">
        <v>16</v>
      </c>
      <c r="B17" s="41">
        <v>7490</v>
      </c>
      <c r="C17" s="54">
        <v>5</v>
      </c>
      <c r="D17">
        <f t="shared" si="0"/>
        <v>1498</v>
      </c>
      <c r="E17" s="54"/>
    </row>
    <row r="18" ht="16.5" spans="1:5">
      <c r="A18">
        <v>17</v>
      </c>
      <c r="B18" s="41">
        <v>8800</v>
      </c>
      <c r="C18" s="54">
        <v>4</v>
      </c>
      <c r="D18">
        <f t="shared" si="0"/>
        <v>2200</v>
      </c>
      <c r="E18" s="54"/>
    </row>
    <row r="19" ht="16.5" spans="1:5">
      <c r="A19">
        <v>18</v>
      </c>
      <c r="B19" s="41">
        <v>10400</v>
      </c>
      <c r="C19" s="54">
        <v>4</v>
      </c>
      <c r="D19">
        <f t="shared" si="0"/>
        <v>2600</v>
      </c>
      <c r="E19" s="54"/>
    </row>
    <row r="20" ht="16.5" spans="1:5">
      <c r="A20">
        <v>19</v>
      </c>
      <c r="B20" s="41">
        <v>12200</v>
      </c>
      <c r="C20" s="54">
        <v>4</v>
      </c>
      <c r="D20">
        <f t="shared" si="0"/>
        <v>3050</v>
      </c>
      <c r="E20" s="54"/>
    </row>
    <row r="21" ht="16.5" spans="1:5">
      <c r="A21">
        <v>20</v>
      </c>
      <c r="B21" s="41">
        <v>14300</v>
      </c>
      <c r="C21" s="54" t="e">
        <f>COUNTIF(#REF!,A21)</f>
        <v>#REF!</v>
      </c>
      <c r="D21" t="e">
        <f t="shared" si="0"/>
        <v>#REF!</v>
      </c>
      <c r="E21" s="54"/>
    </row>
    <row r="22" ht="16.5" spans="1:5">
      <c r="A22">
        <v>21</v>
      </c>
      <c r="B22" s="41">
        <v>16900</v>
      </c>
      <c r="C22" s="54" t="e">
        <f>COUNTIF(#REF!,A22)</f>
        <v>#REF!</v>
      </c>
      <c r="D22" t="e">
        <f t="shared" si="0"/>
        <v>#REF!</v>
      </c>
      <c r="E22" s="54"/>
    </row>
    <row r="23" ht="16.5" spans="1:3">
      <c r="A23">
        <v>22</v>
      </c>
      <c r="B23" s="41">
        <v>20100</v>
      </c>
      <c r="C23" s="54" t="e">
        <f>COUNTIF(#REF!,A23)</f>
        <v>#REF!</v>
      </c>
    </row>
    <row r="24" ht="16.5" spans="1:3">
      <c r="A24">
        <v>23</v>
      </c>
      <c r="B24" s="41">
        <v>23700</v>
      </c>
      <c r="C24" s="54" t="e">
        <f>COUNTIF(#REF!,A24)</f>
        <v>#REF!</v>
      </c>
    </row>
    <row r="25" ht="16.5" spans="1:3">
      <c r="A25">
        <v>24</v>
      </c>
      <c r="B25" s="41">
        <v>27900</v>
      </c>
      <c r="C25" s="54" t="e">
        <f>COUNTIF(#REF!,A25)</f>
        <v>#REF!</v>
      </c>
    </row>
    <row r="26" ht="16.5" spans="1:3">
      <c r="A26">
        <v>25</v>
      </c>
      <c r="B26" s="41">
        <v>32400</v>
      </c>
      <c r="C26" s="54" t="e">
        <f>COUNTIF(#REF!,A26)</f>
        <v>#REF!</v>
      </c>
    </row>
    <row r="27" ht="16.5" spans="1:3">
      <c r="A27">
        <v>26</v>
      </c>
      <c r="B27" s="41">
        <v>37700</v>
      </c>
      <c r="C27" s="54" t="e">
        <f>COUNTIF(#REF!,A27)</f>
        <v>#REF!</v>
      </c>
    </row>
    <row r="28" ht="16.5" spans="1:3">
      <c r="A28">
        <v>27</v>
      </c>
      <c r="B28" s="41">
        <v>43200</v>
      </c>
      <c r="C28" s="54" t="e">
        <f>COUNTIF(#REF!,A28)</f>
        <v>#REF!</v>
      </c>
    </row>
    <row r="29" ht="16.5" spans="1:3">
      <c r="A29">
        <v>28</v>
      </c>
      <c r="B29" s="41">
        <v>49500</v>
      </c>
      <c r="C29" s="54" t="e">
        <f>COUNTIF(#REF!,A29)</f>
        <v>#REF!</v>
      </c>
    </row>
    <row r="30" ht="16.5" spans="1:3">
      <c r="A30">
        <v>29</v>
      </c>
      <c r="B30" s="41">
        <v>56500</v>
      </c>
      <c r="C30" s="54" t="e">
        <f>COUNTIF(#REF!,A30)</f>
        <v>#REF!</v>
      </c>
    </row>
    <row r="31" ht="16.5" spans="1:3">
      <c r="A31">
        <v>30</v>
      </c>
      <c r="B31" s="41">
        <v>64100</v>
      </c>
      <c r="C31" s="54" t="e">
        <f>COUNTIF(#REF!,A31)</f>
        <v>#REF!</v>
      </c>
    </row>
    <row r="32" ht="16.5" spans="1:3">
      <c r="A32">
        <v>31</v>
      </c>
      <c r="B32" s="41">
        <v>73000</v>
      </c>
      <c r="C32" s="54" t="e">
        <f>COUNTIF(#REF!,A32)</f>
        <v>#REF!</v>
      </c>
    </row>
    <row r="33" ht="16.5" spans="1:3">
      <c r="A33">
        <v>32</v>
      </c>
      <c r="B33" s="41">
        <v>82000</v>
      </c>
      <c r="C33" s="54" t="e">
        <f>COUNTIF(#REF!,A33)</f>
        <v>#REF!</v>
      </c>
    </row>
    <row r="34" ht="16.5" spans="1:3">
      <c r="A34">
        <v>33</v>
      </c>
      <c r="B34" s="41">
        <v>92000</v>
      </c>
      <c r="C34" s="54" t="e">
        <f>COUNTIF(#REF!,A34)</f>
        <v>#REF!</v>
      </c>
    </row>
    <row r="35" ht="16.5" spans="1:3">
      <c r="A35">
        <v>34</v>
      </c>
      <c r="B35" s="41">
        <v>103000</v>
      </c>
      <c r="C35" s="54" t="e">
        <f>COUNTIF(#REF!,A35)</f>
        <v>#REF!</v>
      </c>
    </row>
    <row r="36" ht="16.5" spans="1:3">
      <c r="A36">
        <v>35</v>
      </c>
      <c r="B36" s="41">
        <v>115000</v>
      </c>
      <c r="C36" s="54" t="e">
        <f>COUNTIF(#REF!,A36)</f>
        <v>#REF!</v>
      </c>
    </row>
    <row r="37" ht="14.25" spans="1:2">
      <c r="A37">
        <v>36</v>
      </c>
      <c r="B37" s="41">
        <v>128000</v>
      </c>
    </row>
    <row r="38" ht="14.25" spans="1:2">
      <c r="A38">
        <v>37</v>
      </c>
      <c r="B38" s="41">
        <v>142000</v>
      </c>
    </row>
    <row r="39" ht="14.25" spans="1:2">
      <c r="A39">
        <v>38</v>
      </c>
      <c r="B39" s="41">
        <v>157000</v>
      </c>
    </row>
    <row r="40" ht="14.25" spans="1:2">
      <c r="A40">
        <v>39</v>
      </c>
      <c r="B40" s="41">
        <v>174000</v>
      </c>
    </row>
    <row r="41" ht="14.25" spans="1:2">
      <c r="A41">
        <v>40</v>
      </c>
      <c r="B41" s="41">
        <v>191000</v>
      </c>
    </row>
    <row r="42" ht="14.25" spans="1:2">
      <c r="A42">
        <v>41</v>
      </c>
      <c r="B42" s="41">
        <v>210000</v>
      </c>
    </row>
    <row r="43" ht="14.25" spans="1:2">
      <c r="A43">
        <v>42</v>
      </c>
      <c r="B43" s="41">
        <v>230000</v>
      </c>
    </row>
    <row r="44" ht="14.25" spans="1:2">
      <c r="A44">
        <v>43</v>
      </c>
      <c r="B44" s="41">
        <v>252000</v>
      </c>
    </row>
    <row r="45" ht="14.25" spans="1:2">
      <c r="A45">
        <v>44</v>
      </c>
      <c r="B45" s="41">
        <v>275000</v>
      </c>
    </row>
    <row r="46" ht="14.25" spans="1:2">
      <c r="A46">
        <v>45</v>
      </c>
      <c r="B46" s="41">
        <v>300000</v>
      </c>
    </row>
    <row r="47" ht="14.25" spans="1:2">
      <c r="A47">
        <v>46</v>
      </c>
      <c r="B47" s="41">
        <v>326000</v>
      </c>
    </row>
    <row r="48" ht="14.25" spans="1:2">
      <c r="A48">
        <v>47</v>
      </c>
      <c r="B48" s="41">
        <v>354000</v>
      </c>
    </row>
    <row r="49" ht="14.25" spans="1:2">
      <c r="A49">
        <v>48</v>
      </c>
      <c r="B49" s="41">
        <v>384000</v>
      </c>
    </row>
    <row r="50" ht="14.25" spans="1:2">
      <c r="A50">
        <v>49</v>
      </c>
      <c r="B50" s="41">
        <v>415000</v>
      </c>
    </row>
    <row r="51" ht="14.25" spans="1:2">
      <c r="A51">
        <v>50</v>
      </c>
      <c r="B51" s="41">
        <v>449000</v>
      </c>
    </row>
    <row r="52" ht="14.25" spans="1:2">
      <c r="A52">
        <v>51</v>
      </c>
      <c r="B52" s="41">
        <v>532000</v>
      </c>
    </row>
    <row r="53" ht="14.25" spans="1:2">
      <c r="A53">
        <v>52</v>
      </c>
      <c r="B53" s="41">
        <v>626000</v>
      </c>
    </row>
    <row r="54" ht="14.25" spans="1:2">
      <c r="A54">
        <v>53</v>
      </c>
      <c r="B54" s="41">
        <v>730000</v>
      </c>
    </row>
    <row r="55" ht="14.25" spans="1:2">
      <c r="A55">
        <v>54</v>
      </c>
      <c r="B55" s="41">
        <v>850000</v>
      </c>
    </row>
    <row r="56" ht="14.25" spans="1:2">
      <c r="A56">
        <v>55</v>
      </c>
      <c r="B56" s="41">
        <v>970000</v>
      </c>
    </row>
    <row r="57" ht="14.25" spans="1:2">
      <c r="A57">
        <v>56</v>
      </c>
      <c r="B57" s="41">
        <v>1110000</v>
      </c>
    </row>
    <row r="58" ht="14.25" spans="1:2">
      <c r="A58">
        <v>57</v>
      </c>
      <c r="B58" s="41">
        <v>1260000</v>
      </c>
    </row>
    <row r="59" ht="14.25" spans="1:2">
      <c r="A59">
        <v>58</v>
      </c>
      <c r="B59" s="41">
        <v>1430000</v>
      </c>
    </row>
    <row r="60" ht="14.25" spans="1:2">
      <c r="A60">
        <v>59</v>
      </c>
      <c r="B60" s="41">
        <v>1620000</v>
      </c>
    </row>
    <row r="61" ht="14.25" spans="1:2">
      <c r="A61">
        <v>60</v>
      </c>
      <c r="B61" s="41">
        <v>1820000</v>
      </c>
    </row>
    <row r="62" ht="14.25" spans="1:2">
      <c r="A62">
        <v>61</v>
      </c>
      <c r="B62" s="41">
        <v>4890000</v>
      </c>
    </row>
    <row r="63" ht="14.25" spans="1:2">
      <c r="A63">
        <v>62</v>
      </c>
      <c r="B63" s="41">
        <v>5390000</v>
      </c>
    </row>
    <row r="64" ht="14.25" spans="1:2">
      <c r="A64">
        <v>63</v>
      </c>
      <c r="B64" s="41">
        <v>5930000</v>
      </c>
    </row>
    <row r="65" ht="14.25" spans="1:2">
      <c r="A65">
        <v>64</v>
      </c>
      <c r="B65" s="41">
        <v>6510000</v>
      </c>
    </row>
    <row r="66" ht="14.25" spans="1:2">
      <c r="A66">
        <v>65</v>
      </c>
      <c r="B66" s="41">
        <v>7120000</v>
      </c>
    </row>
    <row r="67" ht="14.25" spans="1:2">
      <c r="A67">
        <v>66</v>
      </c>
      <c r="B67" s="41">
        <v>7770000</v>
      </c>
    </row>
    <row r="68" ht="14.25" spans="1:2">
      <c r="A68">
        <v>67</v>
      </c>
      <c r="B68" s="41">
        <v>8450000</v>
      </c>
    </row>
    <row r="69" ht="14.25" spans="1:2">
      <c r="A69">
        <v>68</v>
      </c>
      <c r="B69" s="41">
        <v>9450000</v>
      </c>
    </row>
    <row r="70" ht="14.25" spans="1:2">
      <c r="A70">
        <v>69</v>
      </c>
      <c r="B70" s="41">
        <v>10520000</v>
      </c>
    </row>
    <row r="71" ht="14.25" spans="1:2">
      <c r="A71">
        <v>70</v>
      </c>
      <c r="B71" s="41">
        <v>11700000</v>
      </c>
    </row>
    <row r="72" ht="14.25" spans="1:2">
      <c r="A72">
        <v>71</v>
      </c>
      <c r="B72" s="41">
        <v>12600000</v>
      </c>
    </row>
    <row r="73" ht="14.25" spans="1:2">
      <c r="A73">
        <v>72</v>
      </c>
      <c r="B73" s="41">
        <v>13600000</v>
      </c>
    </row>
    <row r="74" ht="14.25" spans="1:2">
      <c r="A74">
        <v>73</v>
      </c>
      <c r="B74" s="41">
        <v>14600000</v>
      </c>
    </row>
    <row r="75" ht="14.25" spans="1:2">
      <c r="A75">
        <v>74</v>
      </c>
      <c r="B75" s="41">
        <v>15700000</v>
      </c>
    </row>
    <row r="76" ht="14.25" spans="1:2">
      <c r="A76">
        <v>75</v>
      </c>
      <c r="B76" s="41">
        <v>16900000</v>
      </c>
    </row>
    <row r="77" ht="14.25" spans="1:2">
      <c r="A77">
        <v>76</v>
      </c>
      <c r="B77" s="41">
        <v>18100000</v>
      </c>
    </row>
    <row r="78" ht="14.25" spans="1:2">
      <c r="A78">
        <v>77</v>
      </c>
      <c r="B78" s="41">
        <v>19300000</v>
      </c>
    </row>
    <row r="79" ht="14.25" spans="1:2">
      <c r="A79">
        <v>78</v>
      </c>
      <c r="B79" s="41">
        <v>21100000</v>
      </c>
    </row>
    <row r="80" ht="14.25" spans="1:2">
      <c r="A80">
        <v>79</v>
      </c>
      <c r="B80" s="41">
        <v>23100000</v>
      </c>
    </row>
    <row r="81" ht="14.25" spans="1:2">
      <c r="A81">
        <v>80</v>
      </c>
      <c r="B81" s="41">
        <v>25300000</v>
      </c>
    </row>
    <row r="82" ht="14.25" spans="1:2">
      <c r="A82">
        <v>81</v>
      </c>
      <c r="B82" s="41">
        <v>38700000</v>
      </c>
    </row>
    <row r="83" ht="14.25" spans="1:2">
      <c r="A83">
        <v>82</v>
      </c>
      <c r="B83" s="41">
        <v>41200000</v>
      </c>
    </row>
    <row r="84" ht="14.25" spans="1:2">
      <c r="A84">
        <v>83</v>
      </c>
      <c r="B84" s="41">
        <v>43700000</v>
      </c>
    </row>
    <row r="85" ht="14.25" spans="1:2">
      <c r="A85">
        <v>84</v>
      </c>
      <c r="B85" s="41">
        <v>46300000</v>
      </c>
    </row>
    <row r="86" ht="14.25" spans="1:2">
      <c r="A86">
        <v>85</v>
      </c>
      <c r="B86" s="41">
        <v>49100000</v>
      </c>
    </row>
    <row r="87" ht="14.25" spans="1:2">
      <c r="A87">
        <v>86</v>
      </c>
      <c r="B87" s="41">
        <v>51900000</v>
      </c>
    </row>
    <row r="88" ht="14.25" spans="1:2">
      <c r="A88">
        <v>87</v>
      </c>
      <c r="B88" s="41">
        <v>54800000</v>
      </c>
    </row>
    <row r="89" ht="14.25" spans="1:2">
      <c r="A89">
        <v>88</v>
      </c>
      <c r="B89" s="41">
        <v>60500000</v>
      </c>
    </row>
    <row r="90" ht="14.25" spans="1:2">
      <c r="A90">
        <v>89</v>
      </c>
      <c r="B90" s="41">
        <v>66600000</v>
      </c>
    </row>
    <row r="91" ht="14.25" spans="1:2">
      <c r="A91">
        <v>90</v>
      </c>
      <c r="B91" s="41">
        <v>73100000</v>
      </c>
    </row>
    <row r="92" ht="14.25" spans="1:2">
      <c r="A92">
        <v>91</v>
      </c>
      <c r="B92" s="41">
        <v>101000000</v>
      </c>
    </row>
    <row r="93" ht="14.25" spans="1:2">
      <c r="A93">
        <v>92</v>
      </c>
      <c r="B93" s="41">
        <v>106000000</v>
      </c>
    </row>
    <row r="94" ht="14.25" spans="1:2">
      <c r="A94">
        <v>93</v>
      </c>
      <c r="B94" s="41">
        <v>112000000</v>
      </c>
    </row>
    <row r="95" ht="14.25" spans="1:2">
      <c r="A95">
        <v>94</v>
      </c>
      <c r="B95" s="41">
        <v>117000000</v>
      </c>
    </row>
    <row r="96" ht="14.25" spans="1:2">
      <c r="A96">
        <v>95</v>
      </c>
      <c r="B96" s="41">
        <v>123000000</v>
      </c>
    </row>
    <row r="97" ht="14.25" spans="1:2">
      <c r="A97">
        <v>96</v>
      </c>
      <c r="B97" s="41">
        <v>129000000</v>
      </c>
    </row>
    <row r="98" ht="14.25" spans="1:2">
      <c r="A98">
        <v>97</v>
      </c>
      <c r="B98" s="41">
        <v>136000000</v>
      </c>
    </row>
    <row r="99" ht="14.25" spans="1:2">
      <c r="A99">
        <v>98</v>
      </c>
      <c r="B99" s="41">
        <v>147000000</v>
      </c>
    </row>
    <row r="100" ht="14.25" spans="1:2">
      <c r="A100">
        <v>99</v>
      </c>
      <c r="B100" s="41">
        <v>160000000</v>
      </c>
    </row>
    <row r="101" ht="14.25" spans="1:2">
      <c r="A101">
        <v>100</v>
      </c>
      <c r="B101" s="41">
        <v>173000000</v>
      </c>
    </row>
    <row r="102" ht="14.25" spans="1:2">
      <c r="A102">
        <v>101</v>
      </c>
      <c r="B102" s="41">
        <v>227000000</v>
      </c>
    </row>
    <row r="103" ht="14.25" spans="1:2">
      <c r="A103">
        <v>102</v>
      </c>
      <c r="B103" s="41">
        <v>237000000</v>
      </c>
    </row>
    <row r="104" ht="14.25" spans="1:2">
      <c r="A104">
        <v>103</v>
      </c>
      <c r="B104" s="41">
        <v>248000000</v>
      </c>
    </row>
    <row r="105" ht="14.25" spans="1:2">
      <c r="A105">
        <v>104</v>
      </c>
      <c r="B105" s="41">
        <v>259000000</v>
      </c>
    </row>
    <row r="106" ht="14.25" spans="1:2">
      <c r="A106">
        <v>105</v>
      </c>
      <c r="B106" s="41">
        <v>270000000</v>
      </c>
    </row>
    <row r="107" ht="14.25" spans="1:2">
      <c r="A107">
        <v>106</v>
      </c>
      <c r="B107" s="41">
        <v>282000000</v>
      </c>
    </row>
    <row r="108" ht="14.25" spans="1:2">
      <c r="A108">
        <v>107</v>
      </c>
      <c r="B108" s="41">
        <v>294000000</v>
      </c>
    </row>
    <row r="109" ht="14.25" spans="1:2">
      <c r="A109">
        <v>108</v>
      </c>
      <c r="B109" s="41">
        <v>315000000</v>
      </c>
    </row>
    <row r="110" ht="14.25" spans="1:2">
      <c r="A110">
        <v>109</v>
      </c>
      <c r="B110" s="41">
        <v>338000000</v>
      </c>
    </row>
    <row r="111" ht="14.25" spans="1:2">
      <c r="A111">
        <v>110</v>
      </c>
      <c r="B111" s="41">
        <v>363000000</v>
      </c>
    </row>
    <row r="112" ht="14.25" spans="1:2">
      <c r="A112">
        <v>111</v>
      </c>
      <c r="B112" s="41">
        <v>458000000</v>
      </c>
    </row>
    <row r="113" ht="14.25" spans="1:2">
      <c r="A113">
        <v>112</v>
      </c>
      <c r="B113" s="41">
        <v>477000000</v>
      </c>
    </row>
    <row r="114" ht="14.25" spans="1:2">
      <c r="A114">
        <v>113</v>
      </c>
      <c r="B114" s="41">
        <v>496000000</v>
      </c>
    </row>
    <row r="115" ht="14.25" spans="1:2">
      <c r="A115">
        <v>114</v>
      </c>
      <c r="B115" s="41">
        <v>515000000</v>
      </c>
    </row>
    <row r="116" ht="14.25" spans="1:2">
      <c r="A116">
        <v>115</v>
      </c>
      <c r="B116" s="41">
        <v>535000000</v>
      </c>
    </row>
    <row r="117" ht="14.25" spans="1:2">
      <c r="A117">
        <v>116</v>
      </c>
      <c r="B117" s="41">
        <v>555000000</v>
      </c>
    </row>
    <row r="118" ht="14.25" spans="1:2">
      <c r="A118">
        <v>117</v>
      </c>
      <c r="B118" s="41">
        <v>577000000</v>
      </c>
    </row>
    <row r="119" ht="14.25" spans="1:2">
      <c r="A119">
        <v>118</v>
      </c>
      <c r="B119" s="41">
        <v>614000000</v>
      </c>
    </row>
    <row r="120" ht="14.25" spans="1:2">
      <c r="A120">
        <v>119</v>
      </c>
      <c r="B120" s="41">
        <v>653000000</v>
      </c>
    </row>
    <row r="121" ht="14.25" spans="1:2">
      <c r="A121">
        <v>120</v>
      </c>
      <c r="B121" s="41">
        <v>694000000</v>
      </c>
    </row>
    <row r="122" ht="14.25" spans="1:2">
      <c r="A122">
        <v>121</v>
      </c>
      <c r="B122" s="41">
        <v>854000000</v>
      </c>
    </row>
    <row r="123" ht="14.25" spans="1:2">
      <c r="A123">
        <v>122</v>
      </c>
      <c r="B123" s="41">
        <v>885000000</v>
      </c>
    </row>
    <row r="124" ht="14.25" spans="1:2">
      <c r="A124">
        <v>123</v>
      </c>
      <c r="B124" s="41">
        <v>916000000</v>
      </c>
    </row>
    <row r="125" ht="14.25" spans="1:2">
      <c r="A125">
        <v>124</v>
      </c>
      <c r="B125" s="41">
        <v>948000000</v>
      </c>
    </row>
    <row r="126" ht="14.25" spans="1:2">
      <c r="A126">
        <v>125</v>
      </c>
      <c r="B126" s="41">
        <v>981000000</v>
      </c>
    </row>
    <row r="127" ht="14.25" spans="1:2">
      <c r="A127">
        <v>126</v>
      </c>
      <c r="B127" s="41">
        <v>1010000000</v>
      </c>
    </row>
    <row r="128" ht="14.25" spans="1:2">
      <c r="A128">
        <v>127</v>
      </c>
      <c r="B128" s="41">
        <v>1050000000</v>
      </c>
    </row>
    <row r="129" ht="14.25" spans="1:2">
      <c r="A129">
        <v>128</v>
      </c>
      <c r="B129" s="41">
        <v>1110000000</v>
      </c>
    </row>
    <row r="130" ht="14.25" spans="1:2">
      <c r="A130">
        <v>129</v>
      </c>
      <c r="B130" s="41">
        <v>1170000000</v>
      </c>
    </row>
    <row r="131" ht="14.25" spans="1:2">
      <c r="A131">
        <v>130</v>
      </c>
      <c r="B131" s="41">
        <v>1240000000</v>
      </c>
    </row>
    <row r="132" ht="14.25" spans="1:2">
      <c r="A132">
        <v>131</v>
      </c>
      <c r="B132" s="41">
        <v>1490000000</v>
      </c>
    </row>
    <row r="133" ht="14.25" spans="1:2">
      <c r="A133">
        <v>132</v>
      </c>
      <c r="B133" s="41">
        <v>1540000000</v>
      </c>
    </row>
    <row r="134" ht="14.25" spans="1:2">
      <c r="A134">
        <v>133</v>
      </c>
      <c r="B134" s="41">
        <v>1590000000</v>
      </c>
    </row>
    <row r="135" ht="14.25" spans="1:2">
      <c r="A135">
        <v>134</v>
      </c>
      <c r="B135" s="41">
        <v>1640000000</v>
      </c>
    </row>
    <row r="136" ht="14.25" spans="1:2">
      <c r="A136">
        <v>135</v>
      </c>
      <c r="B136" s="41">
        <v>1690000000</v>
      </c>
    </row>
    <row r="137" ht="14.25" spans="1:2">
      <c r="A137">
        <v>136</v>
      </c>
      <c r="B137" s="41">
        <v>1740000000</v>
      </c>
    </row>
    <row r="138" ht="14.25" spans="1:2">
      <c r="A138">
        <v>137</v>
      </c>
      <c r="B138" s="41">
        <v>1800000000</v>
      </c>
    </row>
    <row r="139" ht="14.25" spans="1:2">
      <c r="A139">
        <v>138</v>
      </c>
      <c r="B139" s="41">
        <v>1890000000</v>
      </c>
    </row>
    <row r="140" ht="14.25" spans="1:2">
      <c r="A140">
        <v>139</v>
      </c>
      <c r="B140" s="41">
        <v>1990000000</v>
      </c>
    </row>
    <row r="141" ht="14.25" spans="1:2">
      <c r="A141">
        <v>140</v>
      </c>
      <c r="B141" s="41">
        <v>2090000000</v>
      </c>
    </row>
    <row r="142" ht="14.25" spans="1:2">
      <c r="A142">
        <v>141</v>
      </c>
      <c r="B142" s="41">
        <v>2470000000</v>
      </c>
    </row>
    <row r="143" ht="14.25" spans="1:2">
      <c r="A143">
        <v>142</v>
      </c>
      <c r="B143" s="41">
        <v>2540000000</v>
      </c>
    </row>
    <row r="144" ht="14.25" spans="1:2">
      <c r="A144">
        <v>143</v>
      </c>
      <c r="B144" s="41">
        <v>2620000000</v>
      </c>
    </row>
    <row r="145" ht="14.25" spans="1:2">
      <c r="A145">
        <v>144</v>
      </c>
      <c r="B145" s="41">
        <v>2690000000</v>
      </c>
    </row>
    <row r="146" ht="14.25" spans="1:2">
      <c r="A146">
        <v>145</v>
      </c>
      <c r="B146" s="41">
        <v>2770000000</v>
      </c>
    </row>
    <row r="147" ht="14.25" spans="1:2">
      <c r="A147">
        <v>146</v>
      </c>
      <c r="B147" s="41">
        <v>2850000000</v>
      </c>
    </row>
    <row r="148" ht="14.25" spans="1:2">
      <c r="A148">
        <v>147</v>
      </c>
      <c r="B148" s="41">
        <v>2930000000</v>
      </c>
    </row>
    <row r="149" ht="14.25" spans="1:2">
      <c r="A149">
        <v>148</v>
      </c>
      <c r="B149" s="41">
        <v>3070000000</v>
      </c>
    </row>
    <row r="150" ht="14.25" spans="1:2">
      <c r="A150">
        <v>149</v>
      </c>
      <c r="B150" s="41">
        <v>3220000000</v>
      </c>
    </row>
    <row r="151" ht="14.25" spans="1:2">
      <c r="A151">
        <v>150</v>
      </c>
      <c r="B151" s="41">
        <v>3370000000</v>
      </c>
    </row>
    <row r="152" ht="14.25" spans="1:2">
      <c r="A152">
        <v>151</v>
      </c>
      <c r="B152" s="41">
        <v>3370000000</v>
      </c>
    </row>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85"/>
  <sheetViews>
    <sheetView workbookViewId="0">
      <selection activeCell="C8" sqref="C8"/>
    </sheetView>
  </sheetViews>
  <sheetFormatPr defaultColWidth="9" defaultRowHeight="13.5" outlineLevelCol="6"/>
  <sheetData>
    <row r="1" ht="14.25" spans="1:7">
      <c r="A1" s="6">
        <v>1</v>
      </c>
      <c r="B1" s="20">
        <v>330</v>
      </c>
      <c r="C1">
        <f>G2/2</f>
        <v>330</v>
      </c>
      <c r="F1" t="s">
        <v>915</v>
      </c>
      <c r="G1" s="40" t="s">
        <v>916</v>
      </c>
    </row>
    <row r="2" ht="14.25" spans="1:7">
      <c r="A2" s="6">
        <v>1</v>
      </c>
      <c r="B2" s="20">
        <v>330</v>
      </c>
      <c r="C2">
        <f>G2/2</f>
        <v>330</v>
      </c>
      <c r="F2">
        <v>1</v>
      </c>
      <c r="G2" s="41">
        <v>660</v>
      </c>
    </row>
    <row r="3" ht="14.25" spans="1:7">
      <c r="A3" s="6">
        <v>2</v>
      </c>
      <c r="B3" s="20">
        <v>400</v>
      </c>
      <c r="C3">
        <f>G3/2</f>
        <v>385</v>
      </c>
      <c r="F3">
        <v>2</v>
      </c>
      <c r="G3" s="41">
        <v>770</v>
      </c>
    </row>
    <row r="4" ht="14.25" spans="1:7">
      <c r="A4" s="7">
        <v>2</v>
      </c>
      <c r="B4" s="20">
        <v>370</v>
      </c>
      <c r="C4">
        <f>G3/2</f>
        <v>385</v>
      </c>
      <c r="F4">
        <v>3</v>
      </c>
      <c r="G4" s="41">
        <v>910</v>
      </c>
    </row>
    <row r="5" ht="14.25" spans="1:7">
      <c r="A5" s="7">
        <v>3</v>
      </c>
      <c r="B5" s="20">
        <v>500</v>
      </c>
      <c r="C5">
        <f>G4/2</f>
        <v>455</v>
      </c>
      <c r="F5">
        <v>4</v>
      </c>
      <c r="G5" s="41">
        <v>1070</v>
      </c>
    </row>
    <row r="6" ht="14.25" spans="1:7">
      <c r="A6" s="7">
        <v>3</v>
      </c>
      <c r="B6" s="20">
        <v>410</v>
      </c>
      <c r="C6">
        <f>G4/2</f>
        <v>455</v>
      </c>
      <c r="F6">
        <v>5</v>
      </c>
      <c r="G6" s="41">
        <v>1250</v>
      </c>
    </row>
    <row r="7" ht="14.25" spans="1:7">
      <c r="A7" s="7">
        <v>4</v>
      </c>
      <c r="B7" s="20">
        <v>600</v>
      </c>
      <c r="C7">
        <f>G5/2</f>
        <v>535</v>
      </c>
      <c r="F7">
        <v>6</v>
      </c>
      <c r="G7" s="41">
        <v>1480</v>
      </c>
    </row>
    <row r="8" ht="14.25" spans="1:7">
      <c r="A8" s="7">
        <v>4</v>
      </c>
      <c r="B8" s="20">
        <v>470</v>
      </c>
      <c r="C8">
        <f>G5/2</f>
        <v>535</v>
      </c>
      <c r="F8">
        <v>7</v>
      </c>
      <c r="G8" s="41">
        <v>1740</v>
      </c>
    </row>
    <row r="9" ht="14.25" spans="1:7">
      <c r="A9" s="7">
        <v>5</v>
      </c>
      <c r="B9" s="20">
        <v>600</v>
      </c>
      <c r="C9">
        <f>G6/2</f>
        <v>625</v>
      </c>
      <c r="F9">
        <v>8</v>
      </c>
      <c r="G9" s="41">
        <v>2040</v>
      </c>
    </row>
    <row r="10" ht="14.25" spans="1:7">
      <c r="A10" s="7">
        <v>5</v>
      </c>
      <c r="B10" s="20">
        <v>650</v>
      </c>
      <c r="C10">
        <f>G6/2</f>
        <v>625</v>
      </c>
      <c r="F10">
        <v>9</v>
      </c>
      <c r="G10" s="41">
        <v>2400</v>
      </c>
    </row>
    <row r="11" ht="14.25" spans="1:7">
      <c r="A11" s="7">
        <v>6</v>
      </c>
      <c r="B11" s="20">
        <v>840</v>
      </c>
      <c r="C11">
        <f>G7/2</f>
        <v>740</v>
      </c>
      <c r="F11">
        <v>10</v>
      </c>
      <c r="G11" s="41">
        <v>2830</v>
      </c>
    </row>
    <row r="12" ht="14.25" spans="1:7">
      <c r="A12" s="7">
        <v>6</v>
      </c>
      <c r="B12" s="20">
        <v>700</v>
      </c>
      <c r="C12">
        <f>G7/2</f>
        <v>740</v>
      </c>
      <c r="F12">
        <v>11</v>
      </c>
      <c r="G12" s="41">
        <v>3320</v>
      </c>
    </row>
    <row r="13" ht="14.25" spans="1:7">
      <c r="A13" s="7">
        <v>7</v>
      </c>
      <c r="B13" s="20">
        <v>1000</v>
      </c>
      <c r="C13">
        <f>G8/2</f>
        <v>870</v>
      </c>
      <c r="F13">
        <v>12</v>
      </c>
      <c r="G13" s="41">
        <v>3910</v>
      </c>
    </row>
    <row r="14" ht="14.25" spans="1:7">
      <c r="A14" s="7">
        <v>7</v>
      </c>
      <c r="B14" s="20">
        <v>950</v>
      </c>
      <c r="C14">
        <f>G8/2</f>
        <v>870</v>
      </c>
      <c r="F14" s="42">
        <v>13</v>
      </c>
      <c r="G14" s="43">
        <v>4600</v>
      </c>
    </row>
    <row r="15" ht="14.25" spans="1:7">
      <c r="A15" s="7">
        <v>8</v>
      </c>
      <c r="B15" s="20">
        <v>1800</v>
      </c>
      <c r="C15">
        <f>G9</f>
        <v>2040</v>
      </c>
      <c r="F15" s="42">
        <v>14</v>
      </c>
      <c r="G15" s="43">
        <v>5410</v>
      </c>
    </row>
    <row r="16" ht="14.25" spans="1:7">
      <c r="A16" s="7">
        <v>9</v>
      </c>
      <c r="B16" s="20">
        <v>1200</v>
      </c>
      <c r="C16">
        <f>G10/2</f>
        <v>1200</v>
      </c>
      <c r="F16" s="42">
        <v>15</v>
      </c>
      <c r="G16" s="43">
        <v>6370</v>
      </c>
    </row>
    <row r="17" ht="14.25" spans="1:7">
      <c r="A17" s="7">
        <v>9</v>
      </c>
      <c r="B17" s="20">
        <v>1200</v>
      </c>
      <c r="C17">
        <f>G10/2</f>
        <v>1200</v>
      </c>
      <c r="F17">
        <v>16</v>
      </c>
      <c r="G17" s="41">
        <v>7490</v>
      </c>
    </row>
    <row r="18" ht="14.25" spans="1:7">
      <c r="A18" s="7">
        <v>10</v>
      </c>
      <c r="B18" s="20">
        <v>1415</v>
      </c>
      <c r="C18">
        <f>$G$11/5</f>
        <v>566</v>
      </c>
      <c r="F18">
        <v>17</v>
      </c>
      <c r="G18" s="41">
        <v>8800</v>
      </c>
    </row>
    <row r="19" ht="14.25" spans="1:7">
      <c r="A19" s="7">
        <v>10</v>
      </c>
      <c r="B19" s="20">
        <v>1415</v>
      </c>
      <c r="C19">
        <f t="shared" ref="C19:C22" si="0">$G$11/5</f>
        <v>566</v>
      </c>
      <c r="F19">
        <v>18</v>
      </c>
      <c r="G19" s="41">
        <v>10400</v>
      </c>
    </row>
    <row r="20" ht="14.25" spans="1:7">
      <c r="A20" s="7">
        <v>10</v>
      </c>
      <c r="B20" s="20">
        <v>250</v>
      </c>
      <c r="C20">
        <f t="shared" si="0"/>
        <v>566</v>
      </c>
      <c r="F20">
        <v>19</v>
      </c>
      <c r="G20" s="41">
        <v>12200</v>
      </c>
    </row>
    <row r="21" ht="14.25" spans="1:7">
      <c r="A21" s="7">
        <v>10</v>
      </c>
      <c r="B21" s="20">
        <v>600</v>
      </c>
      <c r="C21">
        <f t="shared" si="0"/>
        <v>566</v>
      </c>
      <c r="F21">
        <v>20</v>
      </c>
      <c r="G21" s="41">
        <v>14300</v>
      </c>
    </row>
    <row r="22" ht="14.25" spans="1:7">
      <c r="A22" s="7">
        <v>10</v>
      </c>
      <c r="B22" s="20">
        <v>280</v>
      </c>
      <c r="C22">
        <f t="shared" si="0"/>
        <v>566</v>
      </c>
      <c r="F22">
        <v>21</v>
      </c>
      <c r="G22" s="41">
        <v>16900</v>
      </c>
    </row>
    <row r="23" spans="1:3">
      <c r="A23" s="7">
        <v>11</v>
      </c>
      <c r="B23" s="20">
        <v>300</v>
      </c>
      <c r="C23">
        <f>ROUNDUP($G$12/6,0)</f>
        <v>554</v>
      </c>
    </row>
    <row r="24" spans="1:3">
      <c r="A24" s="7">
        <v>11</v>
      </c>
      <c r="B24" s="20">
        <v>300</v>
      </c>
      <c r="C24">
        <f t="shared" ref="C24:C28" si="1">ROUNDUP($G$12/6,0)</f>
        <v>554</v>
      </c>
    </row>
    <row r="25" spans="1:3">
      <c r="A25" s="7">
        <v>11</v>
      </c>
      <c r="B25" s="20">
        <v>300</v>
      </c>
      <c r="C25">
        <f t="shared" si="1"/>
        <v>554</v>
      </c>
    </row>
    <row r="26" spans="1:3">
      <c r="A26" s="6">
        <v>11</v>
      </c>
      <c r="B26" s="20">
        <v>350</v>
      </c>
      <c r="C26">
        <f t="shared" si="1"/>
        <v>554</v>
      </c>
    </row>
    <row r="27" spans="1:3">
      <c r="A27" s="6">
        <v>11</v>
      </c>
      <c r="B27" s="20">
        <v>350</v>
      </c>
      <c r="C27">
        <f t="shared" si="1"/>
        <v>554</v>
      </c>
    </row>
    <row r="28" spans="1:3">
      <c r="A28" s="6">
        <v>11</v>
      </c>
      <c r="B28" s="20">
        <v>400</v>
      </c>
      <c r="C28">
        <f t="shared" si="1"/>
        <v>554</v>
      </c>
    </row>
    <row r="29" spans="1:2">
      <c r="A29" s="6">
        <v>12</v>
      </c>
      <c r="B29" s="20">
        <v>300</v>
      </c>
    </row>
    <row r="30" spans="1:2">
      <c r="A30" s="6">
        <v>12</v>
      </c>
      <c r="B30" s="20">
        <v>300</v>
      </c>
    </row>
    <row r="31" spans="1:2">
      <c r="A31" s="6">
        <v>12</v>
      </c>
      <c r="B31" s="20">
        <v>600</v>
      </c>
    </row>
    <row r="32" spans="1:2">
      <c r="A32" s="6">
        <v>12</v>
      </c>
      <c r="B32" s="20">
        <v>450</v>
      </c>
    </row>
    <row r="33" spans="1:2">
      <c r="A33" s="6">
        <v>13</v>
      </c>
      <c r="B33" s="20">
        <v>550</v>
      </c>
    </row>
    <row r="34" spans="1:2">
      <c r="A34" s="6">
        <v>13</v>
      </c>
      <c r="B34" s="20">
        <v>600</v>
      </c>
    </row>
    <row r="35" spans="1:2">
      <c r="A35" s="6">
        <v>13</v>
      </c>
      <c r="B35" s="20">
        <v>420</v>
      </c>
    </row>
    <row r="36" spans="1:2">
      <c r="A36" s="44">
        <v>13</v>
      </c>
      <c r="B36" s="45">
        <v>800</v>
      </c>
    </row>
    <row r="37" spans="1:2">
      <c r="A37" s="44">
        <v>13</v>
      </c>
      <c r="B37" s="45">
        <v>700</v>
      </c>
    </row>
    <row r="38" spans="1:2">
      <c r="A38" s="44">
        <v>13</v>
      </c>
      <c r="B38" s="45">
        <v>700</v>
      </c>
    </row>
    <row r="39" spans="1:2">
      <c r="A39" s="6">
        <v>14</v>
      </c>
      <c r="B39" s="20">
        <v>490</v>
      </c>
    </row>
    <row r="40" spans="1:2">
      <c r="A40" s="46">
        <v>14</v>
      </c>
      <c r="B40" s="47">
        <v>500</v>
      </c>
    </row>
    <row r="41" spans="1:2">
      <c r="A41" s="6">
        <v>14</v>
      </c>
      <c r="B41" s="20">
        <v>1000</v>
      </c>
    </row>
    <row r="42" spans="1:2">
      <c r="A42" s="6">
        <v>15</v>
      </c>
      <c r="B42" s="20">
        <v>500</v>
      </c>
    </row>
    <row r="43" spans="1:2">
      <c r="A43" s="6">
        <v>15</v>
      </c>
      <c r="B43" s="20">
        <v>700</v>
      </c>
    </row>
    <row r="44" spans="1:2">
      <c r="A44" s="6">
        <v>15</v>
      </c>
      <c r="B44" s="20">
        <v>600</v>
      </c>
    </row>
    <row r="45" spans="1:2">
      <c r="A45" s="6">
        <v>15</v>
      </c>
      <c r="B45" s="20">
        <v>1200</v>
      </c>
    </row>
    <row r="46" spans="1:2">
      <c r="A46" s="6">
        <v>16</v>
      </c>
      <c r="B46" s="20">
        <v>800</v>
      </c>
    </row>
    <row r="47" spans="1:2">
      <c r="A47" s="6">
        <v>16</v>
      </c>
      <c r="B47" s="20">
        <v>650</v>
      </c>
    </row>
    <row r="48" spans="1:2">
      <c r="A48" s="6">
        <v>16</v>
      </c>
      <c r="B48" s="20">
        <v>700</v>
      </c>
    </row>
    <row r="49" spans="1:2">
      <c r="A49" s="48">
        <v>16</v>
      </c>
      <c r="B49" s="47">
        <v>1600</v>
      </c>
    </row>
    <row r="50" spans="1:2">
      <c r="A50" s="48">
        <v>16</v>
      </c>
      <c r="B50" s="47">
        <v>1600</v>
      </c>
    </row>
    <row r="51" spans="1:2">
      <c r="A51" s="48">
        <v>16</v>
      </c>
      <c r="B51" s="47">
        <v>1600</v>
      </c>
    </row>
    <row r="52" spans="1:2">
      <c r="A52" s="48">
        <v>16</v>
      </c>
      <c r="B52" s="47">
        <v>1600</v>
      </c>
    </row>
    <row r="53" spans="1:2">
      <c r="A53" s="48">
        <v>16</v>
      </c>
      <c r="B53" s="47">
        <v>1600</v>
      </c>
    </row>
    <row r="54" spans="1:2">
      <c r="A54" s="48">
        <v>16</v>
      </c>
      <c r="B54" s="47">
        <v>1600</v>
      </c>
    </row>
    <row r="55" spans="1:2">
      <c r="A55" s="48">
        <v>16</v>
      </c>
      <c r="B55" s="47">
        <v>1600</v>
      </c>
    </row>
    <row r="56" spans="1:2">
      <c r="A56" s="6">
        <v>16</v>
      </c>
      <c r="B56" s="20">
        <v>750</v>
      </c>
    </row>
    <row r="57" spans="1:2">
      <c r="A57" s="49">
        <v>16</v>
      </c>
      <c r="B57" s="50">
        <v>800</v>
      </c>
    </row>
    <row r="58" spans="1:2">
      <c r="A58" s="49">
        <v>17</v>
      </c>
      <c r="B58" s="50">
        <v>1600</v>
      </c>
    </row>
    <row r="59" spans="1:2">
      <c r="A59" s="49">
        <v>17</v>
      </c>
      <c r="B59" s="50">
        <v>1200</v>
      </c>
    </row>
    <row r="60" spans="1:2">
      <c r="A60" s="49">
        <v>17</v>
      </c>
      <c r="B60" s="50">
        <v>900</v>
      </c>
    </row>
    <row r="61" spans="1:2">
      <c r="A61" s="33">
        <v>17</v>
      </c>
      <c r="B61" s="20">
        <v>1000</v>
      </c>
    </row>
    <row r="62" spans="1:2">
      <c r="A62" s="6">
        <v>18</v>
      </c>
      <c r="B62" s="20">
        <v>1300</v>
      </c>
    </row>
    <row r="63" spans="1:2">
      <c r="A63" s="6">
        <v>18</v>
      </c>
      <c r="B63" s="20">
        <v>1600</v>
      </c>
    </row>
    <row r="64" spans="1:2">
      <c r="A64" s="7">
        <v>18</v>
      </c>
      <c r="B64" s="20">
        <v>1400</v>
      </c>
    </row>
    <row r="65" spans="1:2">
      <c r="A65" s="29">
        <v>18</v>
      </c>
      <c r="B65" s="51">
        <v>2500</v>
      </c>
    </row>
    <row r="66" spans="1:2">
      <c r="A66" s="29">
        <v>18</v>
      </c>
      <c r="B66" s="51">
        <v>2500</v>
      </c>
    </row>
    <row r="67" spans="1:2">
      <c r="A67" s="29">
        <v>18</v>
      </c>
      <c r="B67" s="51">
        <v>2500</v>
      </c>
    </row>
    <row r="68" spans="1:2">
      <c r="A68" s="6">
        <v>18</v>
      </c>
      <c r="B68" s="20">
        <v>1000</v>
      </c>
    </row>
    <row r="69" spans="1:2">
      <c r="A69" s="6">
        <v>19</v>
      </c>
      <c r="B69" s="20">
        <v>2200</v>
      </c>
    </row>
    <row r="70" spans="1:2">
      <c r="A70" s="6">
        <v>19</v>
      </c>
      <c r="B70" s="20">
        <v>2900</v>
      </c>
    </row>
    <row r="71" spans="1:2">
      <c r="A71" s="6">
        <v>19</v>
      </c>
      <c r="B71" s="20">
        <v>2900</v>
      </c>
    </row>
    <row r="72" ht="14.25" spans="1:2">
      <c r="A72" s="6">
        <v>19</v>
      </c>
      <c r="B72" s="20">
        <v>2900</v>
      </c>
    </row>
    <row r="73" spans="1:2">
      <c r="A73" s="52">
        <v>19</v>
      </c>
      <c r="B73" s="53">
        <v>1500</v>
      </c>
    </row>
    <row r="74" spans="1:2">
      <c r="A74" s="7">
        <v>19</v>
      </c>
      <c r="B74" s="20">
        <v>1500</v>
      </c>
    </row>
    <row r="75" spans="1:2">
      <c r="A75" s="7">
        <v>19</v>
      </c>
      <c r="B75" s="20">
        <v>1500</v>
      </c>
    </row>
    <row r="76" spans="1:2">
      <c r="A76" s="7">
        <v>20</v>
      </c>
      <c r="B76" s="20">
        <v>2400</v>
      </c>
    </row>
    <row r="77" spans="1:2">
      <c r="A77" s="48">
        <v>20</v>
      </c>
      <c r="B77" s="47">
        <v>2400</v>
      </c>
    </row>
    <row r="78" spans="1:2">
      <c r="A78" s="48">
        <v>20</v>
      </c>
      <c r="B78" s="47">
        <v>1800</v>
      </c>
    </row>
    <row r="79" spans="1:2">
      <c r="A79" s="48">
        <v>20</v>
      </c>
      <c r="B79" s="47">
        <v>3800</v>
      </c>
    </row>
    <row r="80" spans="1:2">
      <c r="A80" s="7">
        <v>20</v>
      </c>
      <c r="B80" s="20">
        <v>2500</v>
      </c>
    </row>
    <row r="81" spans="1:2">
      <c r="A81" s="7">
        <v>20</v>
      </c>
      <c r="B81" s="20">
        <v>5500</v>
      </c>
    </row>
    <row r="82" spans="1:2">
      <c r="A82" s="48">
        <v>21</v>
      </c>
      <c r="B82" s="47">
        <v>2500</v>
      </c>
    </row>
    <row r="83" spans="1:2">
      <c r="A83" s="6">
        <v>21</v>
      </c>
      <c r="B83" s="20">
        <v>1400</v>
      </c>
    </row>
    <row r="84" spans="1:2">
      <c r="A84" s="6">
        <v>21</v>
      </c>
      <c r="B84" s="20">
        <v>1400</v>
      </c>
    </row>
    <row r="85" spans="1:2">
      <c r="A85" s="6">
        <v>21</v>
      </c>
      <c r="B85" s="20">
        <v>3800</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11"/>
  <sheetViews>
    <sheetView workbookViewId="0">
      <selection activeCell="A9" sqref="$A9:$XFD9"/>
    </sheetView>
  </sheetViews>
  <sheetFormatPr defaultColWidth="9" defaultRowHeight="13.5"/>
  <sheetData>
    <row r="1" s="2" customFormat="1" ht="27" spans="1:46">
      <c r="A1" s="4" t="s">
        <v>0</v>
      </c>
      <c r="B1" s="5" t="s">
        <v>1</v>
      </c>
      <c r="C1" s="5" t="s">
        <v>2</v>
      </c>
      <c r="D1" s="5" t="s">
        <v>3</v>
      </c>
      <c r="E1" s="5" t="s">
        <v>4</v>
      </c>
      <c r="F1" s="5" t="s">
        <v>5</v>
      </c>
      <c r="G1" s="5" t="s">
        <v>6</v>
      </c>
      <c r="H1" s="5" t="s">
        <v>7</v>
      </c>
      <c r="I1" s="5" t="s">
        <v>8</v>
      </c>
      <c r="J1" s="11" t="s">
        <v>9</v>
      </c>
      <c r="K1" s="12" t="s">
        <v>10</v>
      </c>
      <c r="L1" s="12" t="s">
        <v>11</v>
      </c>
      <c r="M1" s="12" t="s">
        <v>12</v>
      </c>
      <c r="N1" s="12" t="s">
        <v>13</v>
      </c>
      <c r="O1" s="13" t="s">
        <v>14</v>
      </c>
      <c r="P1" s="13" t="s">
        <v>15</v>
      </c>
      <c r="Q1" s="13" t="s">
        <v>16</v>
      </c>
      <c r="R1" s="16" t="s">
        <v>17</v>
      </c>
      <c r="S1" s="5" t="s">
        <v>18</v>
      </c>
      <c r="T1" s="5" t="s">
        <v>19</v>
      </c>
      <c r="U1" s="5" t="s">
        <v>20</v>
      </c>
      <c r="V1" s="5" t="s">
        <v>21</v>
      </c>
      <c r="W1" s="5" t="s">
        <v>22</v>
      </c>
      <c r="X1" s="17" t="s">
        <v>23</v>
      </c>
      <c r="Y1" s="5" t="s">
        <v>24</v>
      </c>
      <c r="Z1" s="21" t="s">
        <v>25</v>
      </c>
      <c r="AA1" s="22"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5" t="s">
        <v>44</v>
      </c>
      <c r="AT1" s="2" t="s">
        <v>45</v>
      </c>
    </row>
    <row r="2" s="3" customFormat="1" ht="188.25" customHeight="1" spans="1:46">
      <c r="A2" s="4">
        <v>3001</v>
      </c>
      <c r="B2" s="6">
        <v>1007</v>
      </c>
      <c r="C2" s="6" t="s">
        <v>919</v>
      </c>
      <c r="D2" s="6">
        <v>1</v>
      </c>
      <c r="E2" s="6">
        <v>1</v>
      </c>
      <c r="F2" s="6">
        <v>1</v>
      </c>
      <c r="G2" s="6">
        <v>200</v>
      </c>
      <c r="H2" s="6">
        <v>0</v>
      </c>
      <c r="I2" s="6">
        <v>0</v>
      </c>
      <c r="J2" s="14">
        <v>60045</v>
      </c>
      <c r="K2" s="7" t="s">
        <v>48</v>
      </c>
      <c r="L2" s="7">
        <v>60045</v>
      </c>
      <c r="M2" s="7" t="s">
        <v>920</v>
      </c>
      <c r="N2" s="7"/>
      <c r="O2" s="15"/>
      <c r="P2" s="15"/>
      <c r="Q2" s="15"/>
      <c r="R2" s="18"/>
      <c r="S2" s="6">
        <v>1</v>
      </c>
      <c r="T2" s="6">
        <v>1</v>
      </c>
      <c r="U2" s="19">
        <v>5</v>
      </c>
      <c r="V2" s="6"/>
      <c r="W2" s="6"/>
      <c r="X2" s="20">
        <v>330</v>
      </c>
      <c r="Y2" s="6"/>
      <c r="Z2" s="23"/>
      <c r="AA2" s="24"/>
      <c r="AB2" s="6"/>
      <c r="AC2" s="6"/>
      <c r="AD2" s="25" t="s">
        <v>921</v>
      </c>
      <c r="AE2" s="25" t="s">
        <v>922</v>
      </c>
      <c r="AF2" s="25" t="s">
        <v>923</v>
      </c>
      <c r="AG2" s="25"/>
      <c r="AH2" s="25" t="s">
        <v>924</v>
      </c>
      <c r="AI2" s="6"/>
      <c r="AJ2" s="6"/>
      <c r="AK2" s="6" t="s">
        <v>925</v>
      </c>
      <c r="AL2" s="6" t="s">
        <v>926</v>
      </c>
      <c r="AM2" s="6"/>
      <c r="AN2" s="6">
        <v>1</v>
      </c>
      <c r="AO2" s="6">
        <v>0</v>
      </c>
      <c r="AP2" s="6">
        <v>1</v>
      </c>
      <c r="AQ2" s="6">
        <v>1</v>
      </c>
      <c r="AR2" s="6"/>
      <c r="AS2" s="6">
        <v>0</v>
      </c>
      <c r="AT2" s="28" t="str">
        <f t="shared" ref="AT2:AT10" si="0">"{s_taskTalk,{"&amp;J2&amp;","&amp;L2&amp;"}}"</f>
        <v>{s_taskTalk,{60045,60045}}</v>
      </c>
    </row>
    <row r="3" s="3" customFormat="1" ht="71.25" customHeight="1" spans="1:46">
      <c r="A3" s="4">
        <v>3021</v>
      </c>
      <c r="B3" s="6">
        <v>1009</v>
      </c>
      <c r="C3" s="6" t="s">
        <v>927</v>
      </c>
      <c r="D3" s="6">
        <v>1</v>
      </c>
      <c r="E3" s="6">
        <v>1</v>
      </c>
      <c r="F3" s="6">
        <v>2</v>
      </c>
      <c r="G3" s="6">
        <v>200</v>
      </c>
      <c r="H3" s="6">
        <v>3001</v>
      </c>
      <c r="I3" s="6">
        <v>0</v>
      </c>
      <c r="J3" s="14">
        <v>60046</v>
      </c>
      <c r="K3" s="7" t="s">
        <v>928</v>
      </c>
      <c r="L3" s="7">
        <v>60046</v>
      </c>
      <c r="M3" s="7" t="s">
        <v>928</v>
      </c>
      <c r="N3" s="7"/>
      <c r="O3" s="15">
        <v>60141</v>
      </c>
      <c r="P3" s="15"/>
      <c r="Q3" s="15"/>
      <c r="R3" s="18"/>
      <c r="S3" s="6">
        <v>1</v>
      </c>
      <c r="T3" s="6">
        <v>0</v>
      </c>
      <c r="U3" s="19">
        <v>5</v>
      </c>
      <c r="V3" s="6"/>
      <c r="W3" s="6"/>
      <c r="X3" s="20">
        <v>400</v>
      </c>
      <c r="Y3" s="6"/>
      <c r="Z3" s="23"/>
      <c r="AA3" s="24"/>
      <c r="AB3" s="6"/>
      <c r="AC3" s="6"/>
      <c r="AD3" s="25" t="s">
        <v>929</v>
      </c>
      <c r="AE3" s="25" t="s">
        <v>930</v>
      </c>
      <c r="AF3" s="25" t="s">
        <v>931</v>
      </c>
      <c r="AG3" s="25" t="s">
        <v>932</v>
      </c>
      <c r="AH3" s="25" t="s">
        <v>933</v>
      </c>
      <c r="AI3" s="6"/>
      <c r="AJ3" s="6">
        <v>0</v>
      </c>
      <c r="AK3" s="6" t="s">
        <v>934</v>
      </c>
      <c r="AL3" s="6" t="s">
        <v>935</v>
      </c>
      <c r="AM3" s="6"/>
      <c r="AN3" s="6">
        <v>1</v>
      </c>
      <c r="AO3" s="6">
        <v>0</v>
      </c>
      <c r="AP3" s="6">
        <v>1</v>
      </c>
      <c r="AQ3" s="6">
        <v>1</v>
      </c>
      <c r="AR3" s="6"/>
      <c r="AS3" s="6">
        <v>0</v>
      </c>
      <c r="AT3" s="28" t="str">
        <f t="shared" si="0"/>
        <v>{s_taskTalk,{60046,60046}}</v>
      </c>
    </row>
    <row r="4" s="3" customFormat="1" ht="71.25" customHeight="1" spans="1:46">
      <c r="A4" s="4">
        <v>6001</v>
      </c>
      <c r="B4" s="6">
        <v>1009</v>
      </c>
      <c r="C4" s="6" t="s">
        <v>927</v>
      </c>
      <c r="D4" s="6">
        <v>1</v>
      </c>
      <c r="E4" s="6">
        <v>1</v>
      </c>
      <c r="F4" s="6">
        <v>2</v>
      </c>
      <c r="G4" s="6">
        <v>200</v>
      </c>
      <c r="H4" s="4">
        <v>0</v>
      </c>
      <c r="I4" s="6">
        <v>0</v>
      </c>
      <c r="J4" s="14">
        <v>60046</v>
      </c>
      <c r="K4" s="7" t="s">
        <v>928</v>
      </c>
      <c r="L4" s="7">
        <v>60046</v>
      </c>
      <c r="M4" s="7" t="s">
        <v>928</v>
      </c>
      <c r="N4" s="7"/>
      <c r="O4" s="15">
        <v>60141</v>
      </c>
      <c r="P4" s="15"/>
      <c r="Q4" s="15"/>
      <c r="R4" s="18"/>
      <c r="S4" s="6">
        <v>1</v>
      </c>
      <c r="T4" s="6">
        <v>0</v>
      </c>
      <c r="U4" s="19">
        <v>5</v>
      </c>
      <c r="V4" s="6"/>
      <c r="W4" s="6"/>
      <c r="X4" s="20">
        <v>400</v>
      </c>
      <c r="Y4" s="6"/>
      <c r="Z4" s="23"/>
      <c r="AA4" s="24"/>
      <c r="AB4" s="6"/>
      <c r="AC4" s="6"/>
      <c r="AD4" s="25" t="s">
        <v>929</v>
      </c>
      <c r="AE4" s="25" t="s">
        <v>930</v>
      </c>
      <c r="AF4" s="25" t="s">
        <v>931</v>
      </c>
      <c r="AG4" s="25" t="s">
        <v>932</v>
      </c>
      <c r="AH4" s="25" t="s">
        <v>933</v>
      </c>
      <c r="AI4" s="6"/>
      <c r="AJ4" s="6">
        <v>0</v>
      </c>
      <c r="AK4" s="6" t="s">
        <v>934</v>
      </c>
      <c r="AL4" s="6" t="s">
        <v>935</v>
      </c>
      <c r="AM4" s="6"/>
      <c r="AN4" s="6">
        <v>0</v>
      </c>
      <c r="AO4" s="6">
        <v>0</v>
      </c>
      <c r="AP4" s="6">
        <v>1</v>
      </c>
      <c r="AQ4" s="6">
        <v>1</v>
      </c>
      <c r="AR4" s="6"/>
      <c r="AS4" s="6">
        <v>0</v>
      </c>
      <c r="AT4" s="28" t="str">
        <f t="shared" si="0"/>
        <v>{s_taskTalk,{60046,60046}}</v>
      </c>
    </row>
    <row r="5" s="3" customFormat="1" ht="71.25" customHeight="1" spans="1:46">
      <c r="A5" s="4">
        <v>6002</v>
      </c>
      <c r="B5" s="6">
        <v>1009</v>
      </c>
      <c r="C5" s="6" t="s">
        <v>927</v>
      </c>
      <c r="D5" s="6">
        <v>1</v>
      </c>
      <c r="E5" s="6">
        <v>1</v>
      </c>
      <c r="F5" s="6">
        <v>2</v>
      </c>
      <c r="G5" s="6">
        <v>200</v>
      </c>
      <c r="H5" s="6">
        <v>0</v>
      </c>
      <c r="I5" s="6">
        <v>0</v>
      </c>
      <c r="J5" s="14">
        <v>60046</v>
      </c>
      <c r="K5" s="7" t="s">
        <v>928</v>
      </c>
      <c r="L5" s="7">
        <v>60046</v>
      </c>
      <c r="M5" s="7" t="s">
        <v>928</v>
      </c>
      <c r="N5" s="7"/>
      <c r="O5" s="15">
        <v>60141</v>
      </c>
      <c r="P5" s="15"/>
      <c r="Q5" s="15"/>
      <c r="R5" s="18"/>
      <c r="S5" s="6">
        <v>1</v>
      </c>
      <c r="T5" s="6">
        <v>0</v>
      </c>
      <c r="U5" s="19">
        <v>5</v>
      </c>
      <c r="V5" s="6"/>
      <c r="W5" s="6"/>
      <c r="X5" s="20">
        <v>400</v>
      </c>
      <c r="Y5" s="6"/>
      <c r="Z5" s="23"/>
      <c r="AA5" s="24"/>
      <c r="AB5" s="6"/>
      <c r="AC5" s="6"/>
      <c r="AD5" s="25" t="s">
        <v>929</v>
      </c>
      <c r="AE5" s="25" t="s">
        <v>930</v>
      </c>
      <c r="AF5" s="25" t="s">
        <v>931</v>
      </c>
      <c r="AG5" s="25" t="s">
        <v>932</v>
      </c>
      <c r="AH5" s="25" t="s">
        <v>933</v>
      </c>
      <c r="AI5" s="6"/>
      <c r="AJ5" s="6">
        <v>0</v>
      </c>
      <c r="AK5" s="6" t="s">
        <v>934</v>
      </c>
      <c r="AL5" s="6" t="s">
        <v>935</v>
      </c>
      <c r="AM5" s="6"/>
      <c r="AN5" s="6">
        <v>0</v>
      </c>
      <c r="AO5" s="6">
        <v>0</v>
      </c>
      <c r="AP5" s="6">
        <v>1</v>
      </c>
      <c r="AQ5" s="6">
        <v>1</v>
      </c>
      <c r="AR5" s="6"/>
      <c r="AS5" s="6">
        <v>0</v>
      </c>
      <c r="AT5" s="28" t="str">
        <f t="shared" si="0"/>
        <v>{s_taskTalk,{60046,60046}}</v>
      </c>
    </row>
    <row r="6" s="3" customFormat="1" ht="71.25" customHeight="1" spans="1:46">
      <c r="A6" s="4">
        <v>6003</v>
      </c>
      <c r="B6" s="6">
        <v>1009</v>
      </c>
      <c r="C6" s="6" t="s">
        <v>927</v>
      </c>
      <c r="D6" s="6">
        <v>1</v>
      </c>
      <c r="E6" s="6">
        <v>1</v>
      </c>
      <c r="F6" s="6">
        <v>2</v>
      </c>
      <c r="G6" s="6">
        <v>200</v>
      </c>
      <c r="H6" s="6">
        <v>0</v>
      </c>
      <c r="I6" s="6">
        <v>0</v>
      </c>
      <c r="J6" s="14">
        <v>60046</v>
      </c>
      <c r="K6" s="7" t="s">
        <v>928</v>
      </c>
      <c r="L6" s="7">
        <v>60046</v>
      </c>
      <c r="M6" s="7" t="s">
        <v>928</v>
      </c>
      <c r="N6" s="7"/>
      <c r="O6" s="15">
        <v>60141</v>
      </c>
      <c r="P6" s="15"/>
      <c r="Q6" s="15"/>
      <c r="R6" s="18"/>
      <c r="S6" s="6">
        <v>1</v>
      </c>
      <c r="T6" s="6">
        <v>0</v>
      </c>
      <c r="U6" s="19">
        <v>5</v>
      </c>
      <c r="V6" s="6"/>
      <c r="W6" s="6"/>
      <c r="X6" s="20">
        <v>400</v>
      </c>
      <c r="Y6" s="6"/>
      <c r="Z6" s="23"/>
      <c r="AA6" s="24"/>
      <c r="AB6" s="6"/>
      <c r="AC6" s="6"/>
      <c r="AD6" s="25" t="s">
        <v>929</v>
      </c>
      <c r="AE6" s="25" t="s">
        <v>930</v>
      </c>
      <c r="AF6" s="25" t="s">
        <v>931</v>
      </c>
      <c r="AG6" s="25" t="s">
        <v>932</v>
      </c>
      <c r="AH6" s="25" t="s">
        <v>933</v>
      </c>
      <c r="AI6" s="6"/>
      <c r="AJ6" s="6">
        <v>0</v>
      </c>
      <c r="AK6" s="6" t="s">
        <v>934</v>
      </c>
      <c r="AL6" s="6" t="s">
        <v>935</v>
      </c>
      <c r="AM6" s="6"/>
      <c r="AN6" s="6">
        <v>0</v>
      </c>
      <c r="AO6" s="6">
        <v>0</v>
      </c>
      <c r="AP6" s="6">
        <v>1</v>
      </c>
      <c r="AQ6" s="6">
        <v>1</v>
      </c>
      <c r="AR6" s="6"/>
      <c r="AS6" s="6">
        <v>0</v>
      </c>
      <c r="AT6" s="28" t="str">
        <f t="shared" si="0"/>
        <v>{s_taskTalk,{60046,60046}}</v>
      </c>
    </row>
    <row r="7" s="3" customFormat="1" ht="71.25" customHeight="1" spans="1:46">
      <c r="A7" s="4">
        <v>6004</v>
      </c>
      <c r="B7" s="6">
        <v>1009</v>
      </c>
      <c r="C7" s="6" t="s">
        <v>927</v>
      </c>
      <c r="D7" s="6">
        <v>1</v>
      </c>
      <c r="E7" s="6">
        <v>1</v>
      </c>
      <c r="F7" s="6">
        <v>2</v>
      </c>
      <c r="G7" s="6">
        <v>200</v>
      </c>
      <c r="H7" s="6">
        <v>0</v>
      </c>
      <c r="I7" s="6">
        <v>0</v>
      </c>
      <c r="J7" s="14">
        <v>60046</v>
      </c>
      <c r="K7" s="7" t="s">
        <v>928</v>
      </c>
      <c r="L7" s="7">
        <v>60046</v>
      </c>
      <c r="M7" s="7" t="s">
        <v>928</v>
      </c>
      <c r="N7" s="7"/>
      <c r="O7" s="15">
        <v>60141</v>
      </c>
      <c r="P7" s="15"/>
      <c r="Q7" s="15"/>
      <c r="R7" s="18"/>
      <c r="S7" s="6">
        <v>1</v>
      </c>
      <c r="T7" s="6">
        <v>0</v>
      </c>
      <c r="U7" s="19">
        <v>5</v>
      </c>
      <c r="V7" s="6"/>
      <c r="W7" s="6"/>
      <c r="X7" s="20">
        <v>400</v>
      </c>
      <c r="Y7" s="6"/>
      <c r="Z7" s="23"/>
      <c r="AA7" s="24"/>
      <c r="AB7" s="6"/>
      <c r="AC7" s="6"/>
      <c r="AD7" s="25" t="s">
        <v>929</v>
      </c>
      <c r="AE7" s="25" t="s">
        <v>930</v>
      </c>
      <c r="AF7" s="25" t="s">
        <v>931</v>
      </c>
      <c r="AG7" s="25" t="s">
        <v>932</v>
      </c>
      <c r="AH7" s="25" t="s">
        <v>933</v>
      </c>
      <c r="AI7" s="6"/>
      <c r="AJ7" s="6">
        <v>0</v>
      </c>
      <c r="AK7" s="6" t="s">
        <v>934</v>
      </c>
      <c r="AL7" s="6" t="s">
        <v>935</v>
      </c>
      <c r="AM7" s="6"/>
      <c r="AN7" s="6">
        <v>0</v>
      </c>
      <c r="AO7" s="6">
        <v>0</v>
      </c>
      <c r="AP7" s="6">
        <v>1</v>
      </c>
      <c r="AQ7" s="6">
        <v>1</v>
      </c>
      <c r="AR7" s="6"/>
      <c r="AS7" s="6">
        <v>0</v>
      </c>
      <c r="AT7" s="28" t="str">
        <f t="shared" si="0"/>
        <v>{s_taskTalk,{60046,60046}}</v>
      </c>
    </row>
    <row r="8" s="3" customFormat="1" ht="165" customHeight="1" spans="1:46">
      <c r="A8" s="4">
        <v>3801</v>
      </c>
      <c r="B8" s="6">
        <v>1291</v>
      </c>
      <c r="C8" s="6" t="s">
        <v>936</v>
      </c>
      <c r="D8" s="6">
        <v>1</v>
      </c>
      <c r="E8" s="6">
        <v>2</v>
      </c>
      <c r="F8" s="6">
        <v>21</v>
      </c>
      <c r="G8" s="6">
        <v>200</v>
      </c>
      <c r="H8" s="10">
        <v>3021</v>
      </c>
      <c r="I8" s="6">
        <v>0</v>
      </c>
      <c r="J8" s="7">
        <v>60015</v>
      </c>
      <c r="K8" s="7" t="s">
        <v>49</v>
      </c>
      <c r="L8" s="7">
        <v>60000</v>
      </c>
      <c r="M8" s="7" t="s">
        <v>937</v>
      </c>
      <c r="N8" s="7"/>
      <c r="O8" s="15"/>
      <c r="P8" s="15"/>
      <c r="Q8" s="15"/>
      <c r="R8" s="18"/>
      <c r="S8" s="6">
        <v>1</v>
      </c>
      <c r="T8" s="6">
        <v>1</v>
      </c>
      <c r="U8" s="19">
        <v>15</v>
      </c>
      <c r="V8" s="6"/>
      <c r="W8" s="6"/>
      <c r="X8" s="20">
        <v>1700</v>
      </c>
      <c r="Y8" s="6">
        <v>1</v>
      </c>
      <c r="Z8" s="24"/>
      <c r="AA8" s="24"/>
      <c r="AB8" s="19" t="s">
        <v>938</v>
      </c>
      <c r="AC8" s="6" t="s">
        <v>939</v>
      </c>
      <c r="AD8" s="25" t="s">
        <v>940</v>
      </c>
      <c r="AE8" s="25" t="s">
        <v>941</v>
      </c>
      <c r="AF8" s="25" t="s">
        <v>942</v>
      </c>
      <c r="AG8" s="25" t="s">
        <v>943</v>
      </c>
      <c r="AH8" s="25" t="s">
        <v>943</v>
      </c>
      <c r="AI8" s="6"/>
      <c r="AJ8" s="6">
        <v>0</v>
      </c>
      <c r="AK8" s="7" t="s">
        <v>944</v>
      </c>
      <c r="AL8" s="7" t="s">
        <v>945</v>
      </c>
      <c r="AM8" s="6"/>
      <c r="AN8" s="6">
        <v>1</v>
      </c>
      <c r="AO8" s="6">
        <v>0</v>
      </c>
      <c r="AP8" s="6">
        <v>1</v>
      </c>
      <c r="AQ8" s="6">
        <v>1</v>
      </c>
      <c r="AR8" s="6">
        <v>0</v>
      </c>
      <c r="AS8" s="29">
        <v>0</v>
      </c>
      <c r="AT8" s="28" t="str">
        <f t="shared" si="0"/>
        <v>{s_taskTalk,{60015,60000}}</v>
      </c>
    </row>
    <row r="9" s="30" customFormat="1" ht="209.25" customHeight="1" spans="1:46">
      <c r="A9" s="31">
        <v>4011</v>
      </c>
      <c r="B9" s="32"/>
      <c r="C9" s="32" t="s">
        <v>946</v>
      </c>
      <c r="D9" s="7">
        <v>1</v>
      </c>
      <c r="E9" s="7">
        <v>3</v>
      </c>
      <c r="F9" s="7">
        <v>26</v>
      </c>
      <c r="G9" s="7">
        <v>200</v>
      </c>
      <c r="H9" s="33">
        <v>3801</v>
      </c>
      <c r="I9" s="7">
        <v>0</v>
      </c>
      <c r="J9" s="14">
        <v>122</v>
      </c>
      <c r="K9" s="7" t="s">
        <v>947</v>
      </c>
      <c r="L9" s="32">
        <v>123</v>
      </c>
      <c r="M9" s="32" t="s">
        <v>948</v>
      </c>
      <c r="N9" s="32"/>
      <c r="O9" s="34"/>
      <c r="P9" s="34"/>
      <c r="Q9" s="34"/>
      <c r="R9" s="35"/>
      <c r="S9" s="32">
        <v>1</v>
      </c>
      <c r="T9" s="32">
        <v>0</v>
      </c>
      <c r="U9" s="19">
        <v>15</v>
      </c>
      <c r="V9" s="32"/>
      <c r="W9" s="32"/>
      <c r="X9" s="20">
        <v>6000</v>
      </c>
      <c r="Y9" s="32"/>
      <c r="Z9" s="24"/>
      <c r="AA9" s="36">
        <v>300</v>
      </c>
      <c r="AB9" s="32"/>
      <c r="AC9" s="32"/>
      <c r="AD9" s="37" t="s">
        <v>949</v>
      </c>
      <c r="AE9" s="37" t="s">
        <v>950</v>
      </c>
      <c r="AF9" s="37" t="s">
        <v>951</v>
      </c>
      <c r="AG9" s="38"/>
      <c r="AH9" s="38" t="s">
        <v>952</v>
      </c>
      <c r="AI9" s="32"/>
      <c r="AJ9" s="32">
        <v>0</v>
      </c>
      <c r="AK9" s="39" t="s">
        <v>953</v>
      </c>
      <c r="AL9" s="39" t="s">
        <v>954</v>
      </c>
      <c r="AM9" s="32"/>
      <c r="AN9" s="32">
        <v>1</v>
      </c>
      <c r="AO9" s="32">
        <v>0</v>
      </c>
      <c r="AP9" s="6">
        <v>1</v>
      </c>
      <c r="AQ9" s="6">
        <v>0</v>
      </c>
      <c r="AR9" s="32"/>
      <c r="AS9" s="29">
        <v>0</v>
      </c>
      <c r="AT9" s="28" t="str">
        <f t="shared" si="0"/>
        <v>{s_taskTalk,{122,123}}</v>
      </c>
    </row>
    <row r="10" s="3" customFormat="1" ht="82.5" customHeight="1" spans="1:46">
      <c r="A10" s="4">
        <v>3351</v>
      </c>
      <c r="B10" s="6">
        <v>1205</v>
      </c>
      <c r="C10" s="6" t="s">
        <v>955</v>
      </c>
      <c r="D10" s="6">
        <v>1</v>
      </c>
      <c r="E10" s="6">
        <v>2</v>
      </c>
      <c r="F10" s="6">
        <v>14</v>
      </c>
      <c r="G10" s="6">
        <v>200</v>
      </c>
      <c r="H10" s="6">
        <v>4011</v>
      </c>
      <c r="I10" s="6">
        <v>0</v>
      </c>
      <c r="J10" s="14">
        <v>60035</v>
      </c>
      <c r="K10" s="7" t="s">
        <v>956</v>
      </c>
      <c r="L10" s="7">
        <v>60035</v>
      </c>
      <c r="M10" s="7" t="s">
        <v>956</v>
      </c>
      <c r="N10" s="7"/>
      <c r="O10" s="15"/>
      <c r="P10" s="15"/>
      <c r="Q10" s="15"/>
      <c r="R10" s="18"/>
      <c r="S10" s="6">
        <v>10</v>
      </c>
      <c r="T10" s="6">
        <v>0</v>
      </c>
      <c r="U10" s="19">
        <v>5</v>
      </c>
      <c r="V10" s="6"/>
      <c r="W10" s="6"/>
      <c r="X10" s="20">
        <v>1803</v>
      </c>
      <c r="Y10" s="6"/>
      <c r="Z10" s="23"/>
      <c r="AA10" s="24"/>
      <c r="AC10" s="6"/>
      <c r="AD10" s="25" t="s">
        <v>957</v>
      </c>
      <c r="AE10" s="25" t="s">
        <v>958</v>
      </c>
      <c r="AF10" s="25" t="s">
        <v>959</v>
      </c>
      <c r="AG10" s="25" t="s">
        <v>960</v>
      </c>
      <c r="AH10" s="6" t="s">
        <v>961</v>
      </c>
      <c r="AI10" s="6"/>
      <c r="AJ10" s="6">
        <v>0</v>
      </c>
      <c r="AK10" s="7" t="s">
        <v>962</v>
      </c>
      <c r="AL10" s="7" t="s">
        <v>963</v>
      </c>
      <c r="AM10" s="6" t="s">
        <v>964</v>
      </c>
      <c r="AN10" s="6">
        <v>1</v>
      </c>
      <c r="AO10" s="6">
        <v>0</v>
      </c>
      <c r="AP10" s="6">
        <v>1</v>
      </c>
      <c r="AQ10" s="6">
        <v>0</v>
      </c>
      <c r="AR10" s="6"/>
      <c r="AS10" s="6">
        <v>0</v>
      </c>
      <c r="AT10" s="28" t="str">
        <f t="shared" si="0"/>
        <v>{s_taskTalk,{60035,60035}}</v>
      </c>
    </row>
    <row r="11" s="3" customFormat="1" ht="201" customHeight="1" spans="1:46">
      <c r="A11" s="4">
        <v>3074</v>
      </c>
      <c r="B11" s="7"/>
      <c r="C11" s="7" t="s">
        <v>965</v>
      </c>
      <c r="D11" s="7">
        <v>1</v>
      </c>
      <c r="E11" s="7">
        <v>1</v>
      </c>
      <c r="F11" s="7">
        <v>6</v>
      </c>
      <c r="G11" s="7">
        <v>200</v>
      </c>
      <c r="H11" s="6">
        <v>3351</v>
      </c>
      <c r="I11" s="6">
        <v>0</v>
      </c>
      <c r="J11" s="7">
        <v>60007</v>
      </c>
      <c r="K11" s="7" t="s">
        <v>966</v>
      </c>
      <c r="L11" s="7">
        <v>60007</v>
      </c>
      <c r="M11" s="7" t="s">
        <v>966</v>
      </c>
      <c r="N11" s="7"/>
      <c r="P11" s="15"/>
      <c r="Q11" s="15">
        <v>10103</v>
      </c>
      <c r="R11" s="18"/>
      <c r="S11" s="7">
        <v>4</v>
      </c>
      <c r="T11" s="7">
        <v>0</v>
      </c>
      <c r="U11" s="19">
        <v>5</v>
      </c>
      <c r="V11" s="7"/>
      <c r="W11" s="7"/>
      <c r="X11" s="20">
        <v>840</v>
      </c>
      <c r="Y11" s="7"/>
      <c r="Z11" s="23"/>
      <c r="AA11" s="24">
        <v>50</v>
      </c>
      <c r="AB11" s="7"/>
      <c r="AC11" s="7"/>
      <c r="AD11" s="26" t="s">
        <v>967</v>
      </c>
      <c r="AE11" s="26" t="s">
        <v>968</v>
      </c>
      <c r="AF11" s="26" t="s">
        <v>969</v>
      </c>
      <c r="AG11" s="26" t="s">
        <v>970</v>
      </c>
      <c r="AH11" s="26" t="s">
        <v>971</v>
      </c>
      <c r="AI11" s="7"/>
      <c r="AJ11" s="6">
        <v>0</v>
      </c>
      <c r="AK11" s="7" t="s">
        <v>972</v>
      </c>
      <c r="AL11" s="7" t="s">
        <v>973</v>
      </c>
      <c r="AM11" s="7"/>
      <c r="AN11" s="6">
        <v>1</v>
      </c>
      <c r="AO11" s="6">
        <v>0</v>
      </c>
      <c r="AP11" s="6">
        <v>1</v>
      </c>
      <c r="AQ11" s="6">
        <v>1</v>
      </c>
      <c r="AR11" s="7"/>
      <c r="AS11" s="6">
        <v>0</v>
      </c>
      <c r="AT11" s="28" t="str">
        <f>"{s_taskKillNpc, {"&amp;J11&amp;","&amp;L11&amp;","&amp;Q11&amp;","&amp;S11&amp;"}}"</f>
        <v>{s_taskKillNpc, {60007,60007,10103,4}}</v>
      </c>
    </row>
  </sheetData>
  <pageMargins left="0.699305555555556" right="0.699305555555556"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13"/>
  <sheetViews>
    <sheetView workbookViewId="0">
      <pane ySplit="1" topLeftCell="A8" activePane="bottomLeft" state="frozen"/>
      <selection/>
      <selection pane="bottomLeft" activeCell="AD6" sqref="AD6"/>
    </sheetView>
  </sheetViews>
  <sheetFormatPr defaultColWidth="9" defaultRowHeight="13.5"/>
  <cols>
    <col min="30" max="30" width="49.875" customWidth="1"/>
    <col min="31" max="31" width="14.375" customWidth="1"/>
    <col min="32" max="32" width="15.375" customWidth="1"/>
    <col min="37" max="37" width="51.5" customWidth="1"/>
    <col min="38" max="38" width="27.375" customWidth="1"/>
  </cols>
  <sheetData>
    <row r="1" s="2" customFormat="1" ht="27" spans="1:46">
      <c r="A1" s="4" t="s">
        <v>0</v>
      </c>
      <c r="B1" s="5" t="s">
        <v>1</v>
      </c>
      <c r="C1" s="5" t="s">
        <v>2</v>
      </c>
      <c r="D1" s="5" t="s">
        <v>3</v>
      </c>
      <c r="E1" s="5" t="s">
        <v>4</v>
      </c>
      <c r="F1" s="5" t="s">
        <v>5</v>
      </c>
      <c r="G1" s="5" t="s">
        <v>6</v>
      </c>
      <c r="H1" s="5" t="s">
        <v>7</v>
      </c>
      <c r="I1" s="5" t="s">
        <v>8</v>
      </c>
      <c r="J1" s="11" t="s">
        <v>9</v>
      </c>
      <c r="K1" s="12" t="s">
        <v>10</v>
      </c>
      <c r="L1" s="12" t="s">
        <v>11</v>
      </c>
      <c r="M1" s="12" t="s">
        <v>12</v>
      </c>
      <c r="N1" s="12" t="s">
        <v>13</v>
      </c>
      <c r="O1" s="13" t="s">
        <v>14</v>
      </c>
      <c r="P1" s="13" t="s">
        <v>15</v>
      </c>
      <c r="Q1" s="13" t="s">
        <v>16</v>
      </c>
      <c r="R1" s="16" t="s">
        <v>17</v>
      </c>
      <c r="S1" s="5" t="s">
        <v>18</v>
      </c>
      <c r="T1" s="5" t="s">
        <v>19</v>
      </c>
      <c r="U1" s="5" t="s">
        <v>20</v>
      </c>
      <c r="V1" s="5" t="s">
        <v>21</v>
      </c>
      <c r="W1" s="5" t="s">
        <v>22</v>
      </c>
      <c r="X1" s="17" t="s">
        <v>23</v>
      </c>
      <c r="Y1" s="5" t="s">
        <v>24</v>
      </c>
      <c r="Z1" s="21" t="s">
        <v>25</v>
      </c>
      <c r="AA1" s="22" t="s">
        <v>26</v>
      </c>
      <c r="AB1" s="5" t="s">
        <v>27</v>
      </c>
      <c r="AC1" s="5" t="s">
        <v>28</v>
      </c>
      <c r="AD1" s="5" t="s">
        <v>29</v>
      </c>
      <c r="AE1" s="5" t="s">
        <v>30</v>
      </c>
      <c r="AF1" s="5" t="s">
        <v>31</v>
      </c>
      <c r="AG1" s="5" t="s">
        <v>32</v>
      </c>
      <c r="AH1" s="5" t="s">
        <v>33</v>
      </c>
      <c r="AI1" s="5" t="s">
        <v>34</v>
      </c>
      <c r="AJ1" s="5" t="s">
        <v>35</v>
      </c>
      <c r="AK1" s="5" t="s">
        <v>36</v>
      </c>
      <c r="AL1" s="5" t="s">
        <v>37</v>
      </c>
      <c r="AM1" s="5" t="s">
        <v>38</v>
      </c>
      <c r="AN1" s="5" t="s">
        <v>39</v>
      </c>
      <c r="AO1" s="5" t="s">
        <v>40</v>
      </c>
      <c r="AP1" s="5" t="s">
        <v>41</v>
      </c>
      <c r="AQ1" s="5" t="s">
        <v>42</v>
      </c>
      <c r="AR1" s="5" t="s">
        <v>43</v>
      </c>
      <c r="AS1" s="5" t="s">
        <v>44</v>
      </c>
      <c r="AT1" s="2" t="s">
        <v>45</v>
      </c>
    </row>
    <row r="2" s="3" customFormat="1" ht="105" customHeight="1" spans="1:46">
      <c r="A2" s="4">
        <v>3001</v>
      </c>
      <c r="B2" s="6">
        <v>1007</v>
      </c>
      <c r="C2" s="6" t="s">
        <v>919</v>
      </c>
      <c r="D2" s="6">
        <v>1</v>
      </c>
      <c r="E2" s="6">
        <v>1</v>
      </c>
      <c r="F2" s="6">
        <v>1</v>
      </c>
      <c r="G2" s="6">
        <v>200</v>
      </c>
      <c r="H2" s="6">
        <v>0</v>
      </c>
      <c r="I2" s="6">
        <v>0</v>
      </c>
      <c r="J2" s="14">
        <v>60045</v>
      </c>
      <c r="K2" s="7" t="s">
        <v>48</v>
      </c>
      <c r="L2" s="7">
        <v>60045</v>
      </c>
      <c r="M2" s="7" t="s">
        <v>920</v>
      </c>
      <c r="N2" s="7"/>
      <c r="O2" s="15"/>
      <c r="P2" s="15"/>
      <c r="Q2" s="15"/>
      <c r="R2" s="18"/>
      <c r="S2" s="6">
        <v>1</v>
      </c>
      <c r="T2" s="6">
        <v>1</v>
      </c>
      <c r="U2" s="19">
        <v>5</v>
      </c>
      <c r="V2" s="6"/>
      <c r="W2" s="6"/>
      <c r="X2" s="20">
        <v>330</v>
      </c>
      <c r="Y2" s="6"/>
      <c r="Z2" s="23"/>
      <c r="AA2" s="24">
        <v>50</v>
      </c>
      <c r="AB2" s="6"/>
      <c r="AC2" s="6"/>
      <c r="AD2" s="25" t="s">
        <v>921</v>
      </c>
      <c r="AE2" s="25" t="s">
        <v>922</v>
      </c>
      <c r="AF2" s="25" t="s">
        <v>923</v>
      </c>
      <c r="AG2" s="25"/>
      <c r="AH2" s="25" t="s">
        <v>924</v>
      </c>
      <c r="AI2" s="6"/>
      <c r="AJ2" s="6"/>
      <c r="AK2" s="6" t="s">
        <v>925</v>
      </c>
      <c r="AL2" s="6" t="s">
        <v>926</v>
      </c>
      <c r="AM2" s="6"/>
      <c r="AN2" s="6">
        <v>1</v>
      </c>
      <c r="AO2" s="6">
        <v>0</v>
      </c>
      <c r="AP2" s="6">
        <v>1</v>
      </c>
      <c r="AQ2" s="6">
        <v>1</v>
      </c>
      <c r="AR2" s="6"/>
      <c r="AS2" s="6">
        <v>0</v>
      </c>
      <c r="AT2" s="28" t="str">
        <f t="shared" ref="AT2:AT9" si="0">"{s_taskTalk,{"&amp;J2&amp;","&amp;L2&amp;"}}"</f>
        <v>{s_taskTalk,{60045,60045}}</v>
      </c>
    </row>
    <row r="3" s="3" customFormat="1" ht="105" customHeight="1" spans="1:46">
      <c r="A3" s="4">
        <v>3011</v>
      </c>
      <c r="B3" s="6">
        <v>1008</v>
      </c>
      <c r="C3" s="6" t="s">
        <v>974</v>
      </c>
      <c r="D3" s="6">
        <v>1</v>
      </c>
      <c r="E3" s="6">
        <v>1</v>
      </c>
      <c r="F3" s="6">
        <v>1</v>
      </c>
      <c r="G3" s="6">
        <v>200</v>
      </c>
      <c r="H3" s="6">
        <v>3001</v>
      </c>
      <c r="I3" s="6">
        <v>0</v>
      </c>
      <c r="J3" s="14">
        <v>60045</v>
      </c>
      <c r="K3" s="7" t="s">
        <v>920</v>
      </c>
      <c r="L3" s="7">
        <v>60046</v>
      </c>
      <c r="M3" s="7" t="s">
        <v>928</v>
      </c>
      <c r="N3" s="7"/>
      <c r="O3" s="15"/>
      <c r="P3" s="15"/>
      <c r="Q3" s="15"/>
      <c r="R3" s="18"/>
      <c r="S3" s="6">
        <v>1</v>
      </c>
      <c r="T3" s="6">
        <v>1</v>
      </c>
      <c r="U3" s="19">
        <v>5</v>
      </c>
      <c r="V3" s="6"/>
      <c r="W3" s="6"/>
      <c r="X3" s="20">
        <v>330</v>
      </c>
      <c r="Y3" s="6"/>
      <c r="Z3" s="23"/>
      <c r="AA3" s="24">
        <v>50</v>
      </c>
      <c r="AB3" s="6"/>
      <c r="AC3" s="6"/>
      <c r="AD3" s="25" t="s">
        <v>975</v>
      </c>
      <c r="AE3" s="25" t="s">
        <v>976</v>
      </c>
      <c r="AF3" s="25" t="s">
        <v>977</v>
      </c>
      <c r="AG3" s="25"/>
      <c r="AH3" s="25" t="s">
        <v>978</v>
      </c>
      <c r="AI3" s="6"/>
      <c r="AJ3" s="6">
        <v>0</v>
      </c>
      <c r="AK3" s="6" t="s">
        <v>979</v>
      </c>
      <c r="AL3" s="6" t="s">
        <v>980</v>
      </c>
      <c r="AM3" s="6"/>
      <c r="AN3" s="6">
        <v>1</v>
      </c>
      <c r="AO3" s="6">
        <v>0</v>
      </c>
      <c r="AP3" s="6">
        <v>1</v>
      </c>
      <c r="AQ3" s="6">
        <v>1</v>
      </c>
      <c r="AR3" s="6"/>
      <c r="AS3" s="6">
        <v>0</v>
      </c>
      <c r="AT3" s="28" t="str">
        <f t="shared" si="0"/>
        <v>{s_taskTalk,{60045,60046}}</v>
      </c>
    </row>
    <row r="4" s="3" customFormat="1" ht="105" customHeight="1" spans="1:46">
      <c r="A4" s="4">
        <v>3021</v>
      </c>
      <c r="B4" s="6">
        <v>1009</v>
      </c>
      <c r="C4" s="6" t="s">
        <v>927</v>
      </c>
      <c r="D4" s="6">
        <v>1</v>
      </c>
      <c r="E4" s="6">
        <v>1</v>
      </c>
      <c r="F4" s="6">
        <v>1</v>
      </c>
      <c r="G4" s="6">
        <v>200</v>
      </c>
      <c r="H4" s="6">
        <v>3011</v>
      </c>
      <c r="I4" s="6">
        <v>0</v>
      </c>
      <c r="J4" s="14">
        <v>60046</v>
      </c>
      <c r="K4" s="7" t="s">
        <v>928</v>
      </c>
      <c r="L4" s="7">
        <v>60046</v>
      </c>
      <c r="M4" s="7" t="s">
        <v>928</v>
      </c>
      <c r="N4" s="7"/>
      <c r="O4" s="15">
        <v>60141</v>
      </c>
      <c r="P4" s="15"/>
      <c r="Q4" s="15"/>
      <c r="R4" s="18"/>
      <c r="S4" s="6">
        <v>1</v>
      </c>
      <c r="T4" s="6">
        <v>0</v>
      </c>
      <c r="U4" s="19">
        <v>5</v>
      </c>
      <c r="V4" s="6"/>
      <c r="W4" s="6"/>
      <c r="X4" s="20">
        <v>400</v>
      </c>
      <c r="Y4" s="6"/>
      <c r="Z4" s="23"/>
      <c r="AA4" s="24">
        <v>50</v>
      </c>
      <c r="AB4" s="6"/>
      <c r="AC4" s="6"/>
      <c r="AD4" s="25" t="s">
        <v>929</v>
      </c>
      <c r="AE4" s="25" t="s">
        <v>930</v>
      </c>
      <c r="AF4" s="25" t="s">
        <v>931</v>
      </c>
      <c r="AG4" s="25" t="s">
        <v>932</v>
      </c>
      <c r="AH4" s="25" t="s">
        <v>933</v>
      </c>
      <c r="AI4" s="6"/>
      <c r="AJ4" s="6">
        <v>0</v>
      </c>
      <c r="AK4" s="6" t="s">
        <v>934</v>
      </c>
      <c r="AL4" s="6" t="s">
        <v>935</v>
      </c>
      <c r="AM4" s="6"/>
      <c r="AN4" s="6">
        <v>1</v>
      </c>
      <c r="AO4" s="6">
        <v>0</v>
      </c>
      <c r="AP4" s="6">
        <v>1</v>
      </c>
      <c r="AQ4" s="6">
        <v>1</v>
      </c>
      <c r="AR4" s="6"/>
      <c r="AS4" s="6">
        <v>0</v>
      </c>
      <c r="AT4" s="28" t="str">
        <f t="shared" si="0"/>
        <v>{s_taskTalk,{60046,60046}}</v>
      </c>
    </row>
    <row r="5" s="3" customFormat="1" ht="105" customHeight="1" spans="1:46">
      <c r="A5" s="4">
        <v>6001</v>
      </c>
      <c r="B5" s="6">
        <v>1009</v>
      </c>
      <c r="C5" s="6" t="s">
        <v>927</v>
      </c>
      <c r="D5" s="6">
        <v>1</v>
      </c>
      <c r="E5" s="6">
        <v>1</v>
      </c>
      <c r="F5" s="6">
        <v>1</v>
      </c>
      <c r="G5" s="6">
        <v>200</v>
      </c>
      <c r="H5" s="6">
        <v>0</v>
      </c>
      <c r="I5" s="6">
        <v>0</v>
      </c>
      <c r="J5" s="14">
        <v>60046</v>
      </c>
      <c r="K5" s="7" t="s">
        <v>928</v>
      </c>
      <c r="L5" s="7">
        <v>60046</v>
      </c>
      <c r="M5" s="7" t="s">
        <v>928</v>
      </c>
      <c r="N5" s="7"/>
      <c r="O5" s="15">
        <v>60141</v>
      </c>
      <c r="P5" s="15"/>
      <c r="Q5" s="15"/>
      <c r="R5" s="18"/>
      <c r="S5" s="6">
        <v>1</v>
      </c>
      <c r="T5" s="6">
        <v>0</v>
      </c>
      <c r="U5" s="19">
        <v>5</v>
      </c>
      <c r="V5" s="6"/>
      <c r="W5" s="6"/>
      <c r="X5" s="20">
        <v>400</v>
      </c>
      <c r="Y5" s="6"/>
      <c r="Z5" s="23"/>
      <c r="AA5" s="24">
        <v>50</v>
      </c>
      <c r="AB5" s="6"/>
      <c r="AC5" s="6"/>
      <c r="AD5" s="25" t="s">
        <v>929</v>
      </c>
      <c r="AE5" s="25" t="s">
        <v>930</v>
      </c>
      <c r="AF5" s="25" t="s">
        <v>931</v>
      </c>
      <c r="AG5" s="25" t="s">
        <v>932</v>
      </c>
      <c r="AH5" s="25" t="s">
        <v>933</v>
      </c>
      <c r="AI5" s="6"/>
      <c r="AJ5" s="6">
        <v>0</v>
      </c>
      <c r="AK5" s="6" t="s">
        <v>934</v>
      </c>
      <c r="AL5" s="6" t="s">
        <v>935</v>
      </c>
      <c r="AM5" s="6"/>
      <c r="AN5" s="6">
        <v>0</v>
      </c>
      <c r="AO5" s="6">
        <v>0</v>
      </c>
      <c r="AP5" s="6">
        <v>1</v>
      </c>
      <c r="AQ5" s="6">
        <v>1</v>
      </c>
      <c r="AR5" s="6"/>
      <c r="AS5" s="6">
        <v>0</v>
      </c>
      <c r="AT5" s="28" t="str">
        <f t="shared" si="0"/>
        <v>{s_taskTalk,{60046,60046}}</v>
      </c>
    </row>
    <row r="6" s="3" customFormat="1" ht="105" customHeight="1" spans="1:46">
      <c r="A6" s="4">
        <v>6002</v>
      </c>
      <c r="B6" s="6">
        <v>1009</v>
      </c>
      <c r="C6" s="6" t="s">
        <v>927</v>
      </c>
      <c r="D6" s="6">
        <v>1</v>
      </c>
      <c r="E6" s="6">
        <v>1</v>
      </c>
      <c r="F6" s="6">
        <v>1</v>
      </c>
      <c r="G6" s="6">
        <v>200</v>
      </c>
      <c r="H6" s="6">
        <v>0</v>
      </c>
      <c r="I6" s="6">
        <v>0</v>
      </c>
      <c r="J6" s="14">
        <v>60046</v>
      </c>
      <c r="K6" s="7" t="s">
        <v>928</v>
      </c>
      <c r="L6" s="7">
        <v>60046</v>
      </c>
      <c r="M6" s="7" t="s">
        <v>928</v>
      </c>
      <c r="N6" s="7"/>
      <c r="O6" s="15">
        <v>60141</v>
      </c>
      <c r="P6" s="15"/>
      <c r="Q6" s="15"/>
      <c r="R6" s="18"/>
      <c r="S6" s="6">
        <v>1</v>
      </c>
      <c r="T6" s="6">
        <v>0</v>
      </c>
      <c r="U6" s="19">
        <v>5</v>
      </c>
      <c r="V6" s="6"/>
      <c r="W6" s="6"/>
      <c r="X6" s="20">
        <v>400</v>
      </c>
      <c r="Y6" s="6"/>
      <c r="Z6" s="23"/>
      <c r="AA6" s="24">
        <v>50</v>
      </c>
      <c r="AB6" s="6"/>
      <c r="AC6" s="6"/>
      <c r="AD6" s="25" t="s">
        <v>929</v>
      </c>
      <c r="AE6" s="25" t="s">
        <v>930</v>
      </c>
      <c r="AF6" s="25" t="s">
        <v>931</v>
      </c>
      <c r="AG6" s="25" t="s">
        <v>932</v>
      </c>
      <c r="AH6" s="25" t="s">
        <v>933</v>
      </c>
      <c r="AI6" s="6"/>
      <c r="AJ6" s="6">
        <v>0</v>
      </c>
      <c r="AK6" s="6" t="s">
        <v>934</v>
      </c>
      <c r="AL6" s="6" t="s">
        <v>935</v>
      </c>
      <c r="AM6" s="6"/>
      <c r="AN6" s="6">
        <v>0</v>
      </c>
      <c r="AO6" s="6">
        <v>0</v>
      </c>
      <c r="AP6" s="6">
        <v>1</v>
      </c>
      <c r="AQ6" s="6">
        <v>1</v>
      </c>
      <c r="AR6" s="6"/>
      <c r="AS6" s="6">
        <v>0</v>
      </c>
      <c r="AT6" s="28" t="str">
        <f t="shared" si="0"/>
        <v>{s_taskTalk,{60046,60046}}</v>
      </c>
    </row>
    <row r="7" s="3" customFormat="1" ht="105" customHeight="1" spans="1:46">
      <c r="A7" s="4">
        <v>6003</v>
      </c>
      <c r="B7" s="6">
        <v>1009</v>
      </c>
      <c r="C7" s="6" t="s">
        <v>927</v>
      </c>
      <c r="D7" s="6">
        <v>1</v>
      </c>
      <c r="E7" s="6">
        <v>1</v>
      </c>
      <c r="F7" s="6">
        <v>1</v>
      </c>
      <c r="G7" s="6">
        <v>200</v>
      </c>
      <c r="H7" s="6">
        <v>0</v>
      </c>
      <c r="I7" s="6">
        <v>0</v>
      </c>
      <c r="J7" s="14">
        <v>60046</v>
      </c>
      <c r="K7" s="7" t="s">
        <v>928</v>
      </c>
      <c r="L7" s="7">
        <v>60046</v>
      </c>
      <c r="M7" s="7" t="s">
        <v>928</v>
      </c>
      <c r="N7" s="7"/>
      <c r="O7" s="15">
        <v>60141</v>
      </c>
      <c r="P7" s="15"/>
      <c r="Q7" s="15"/>
      <c r="R7" s="18"/>
      <c r="S7" s="6">
        <v>1</v>
      </c>
      <c r="T7" s="6">
        <v>0</v>
      </c>
      <c r="U7" s="19">
        <v>5</v>
      </c>
      <c r="V7" s="6"/>
      <c r="W7" s="6"/>
      <c r="X7" s="20">
        <v>500</v>
      </c>
      <c r="Y7" s="6"/>
      <c r="Z7" s="23"/>
      <c r="AA7" s="24">
        <v>50</v>
      </c>
      <c r="AB7" s="6"/>
      <c r="AC7" s="6"/>
      <c r="AD7" s="25" t="s">
        <v>929</v>
      </c>
      <c r="AE7" s="25" t="s">
        <v>930</v>
      </c>
      <c r="AF7" s="25" t="s">
        <v>931</v>
      </c>
      <c r="AG7" s="25" t="s">
        <v>932</v>
      </c>
      <c r="AH7" s="25" t="s">
        <v>933</v>
      </c>
      <c r="AI7" s="6"/>
      <c r="AJ7" s="6">
        <v>0</v>
      </c>
      <c r="AK7" s="6" t="s">
        <v>934</v>
      </c>
      <c r="AL7" s="6" t="s">
        <v>935</v>
      </c>
      <c r="AM7" s="6"/>
      <c r="AN7" s="6">
        <v>0</v>
      </c>
      <c r="AO7" s="6">
        <v>0</v>
      </c>
      <c r="AP7" s="6">
        <v>1</v>
      </c>
      <c r="AQ7" s="6">
        <v>1</v>
      </c>
      <c r="AR7" s="6"/>
      <c r="AS7" s="6">
        <v>0</v>
      </c>
      <c r="AT7" s="28" t="str">
        <f t="shared" si="0"/>
        <v>{s_taskTalk,{60046,60046}}</v>
      </c>
    </row>
    <row r="8" s="3" customFormat="1" ht="105" customHeight="1" spans="1:46">
      <c r="A8" s="4">
        <v>6004</v>
      </c>
      <c r="B8" s="6">
        <v>1009</v>
      </c>
      <c r="C8" s="6" t="s">
        <v>927</v>
      </c>
      <c r="D8" s="6">
        <v>1</v>
      </c>
      <c r="E8" s="6">
        <v>1</v>
      </c>
      <c r="F8" s="6">
        <v>1</v>
      </c>
      <c r="G8" s="6">
        <v>200</v>
      </c>
      <c r="H8" s="6">
        <v>0</v>
      </c>
      <c r="I8" s="6">
        <v>0</v>
      </c>
      <c r="J8" s="14">
        <v>60046</v>
      </c>
      <c r="K8" s="7" t="s">
        <v>928</v>
      </c>
      <c r="L8" s="7">
        <v>60046</v>
      </c>
      <c r="M8" s="7" t="s">
        <v>928</v>
      </c>
      <c r="N8" s="7"/>
      <c r="O8" s="15">
        <v>60141</v>
      </c>
      <c r="P8" s="15"/>
      <c r="Q8" s="15"/>
      <c r="R8" s="18"/>
      <c r="S8" s="6">
        <v>1</v>
      </c>
      <c r="T8" s="6">
        <v>0</v>
      </c>
      <c r="U8" s="19">
        <v>5</v>
      </c>
      <c r="V8" s="6"/>
      <c r="W8" s="6"/>
      <c r="X8" s="20">
        <v>500</v>
      </c>
      <c r="Y8" s="6"/>
      <c r="Z8" s="23"/>
      <c r="AA8" s="24">
        <v>50</v>
      </c>
      <c r="AB8" s="6"/>
      <c r="AC8" s="6"/>
      <c r="AD8" s="25" t="s">
        <v>929</v>
      </c>
      <c r="AE8" s="25" t="s">
        <v>930</v>
      </c>
      <c r="AF8" s="25" t="s">
        <v>931</v>
      </c>
      <c r="AG8" s="25" t="s">
        <v>932</v>
      </c>
      <c r="AH8" s="25" t="s">
        <v>933</v>
      </c>
      <c r="AI8" s="6"/>
      <c r="AJ8" s="6">
        <v>0</v>
      </c>
      <c r="AK8" s="6" t="s">
        <v>934</v>
      </c>
      <c r="AL8" s="6" t="s">
        <v>935</v>
      </c>
      <c r="AM8" s="6"/>
      <c r="AN8" s="6">
        <v>0</v>
      </c>
      <c r="AO8" s="6">
        <v>0</v>
      </c>
      <c r="AP8" s="6">
        <v>1</v>
      </c>
      <c r="AQ8" s="6">
        <v>1</v>
      </c>
      <c r="AR8" s="6"/>
      <c r="AS8" s="6">
        <v>0</v>
      </c>
      <c r="AT8" s="28" t="str">
        <f t="shared" si="0"/>
        <v>{s_taskTalk,{60046,60046}}</v>
      </c>
    </row>
    <row r="9" s="3" customFormat="1" ht="105" customHeight="1" spans="1:46">
      <c r="A9" s="4">
        <v>3031</v>
      </c>
      <c r="B9" s="7">
        <v>1011</v>
      </c>
      <c r="C9" s="7" t="s">
        <v>981</v>
      </c>
      <c r="D9" s="7">
        <v>1</v>
      </c>
      <c r="E9" s="7">
        <v>1</v>
      </c>
      <c r="F9" s="6">
        <v>1</v>
      </c>
      <c r="G9" s="7">
        <v>200</v>
      </c>
      <c r="H9" s="6">
        <v>3021</v>
      </c>
      <c r="I9" s="6">
        <v>0</v>
      </c>
      <c r="J9" s="7">
        <v>60046</v>
      </c>
      <c r="K9" s="7" t="s">
        <v>928</v>
      </c>
      <c r="L9" s="7">
        <v>60005</v>
      </c>
      <c r="M9" s="7" t="s">
        <v>982</v>
      </c>
      <c r="N9" s="7"/>
      <c r="O9" s="15"/>
      <c r="P9" s="15"/>
      <c r="Q9" s="15"/>
      <c r="R9" s="18"/>
      <c r="S9" s="7">
        <v>1</v>
      </c>
      <c r="T9" s="7">
        <v>1</v>
      </c>
      <c r="U9" s="19">
        <v>5</v>
      </c>
      <c r="V9" s="7"/>
      <c r="W9" s="7"/>
      <c r="X9" s="20">
        <v>500</v>
      </c>
      <c r="Y9" s="7"/>
      <c r="Z9" s="23"/>
      <c r="AA9" s="24">
        <v>50</v>
      </c>
      <c r="AB9" s="7"/>
      <c r="AC9" s="7"/>
      <c r="AD9" s="26" t="s">
        <v>983</v>
      </c>
      <c r="AE9" s="26" t="s">
        <v>984</v>
      </c>
      <c r="AF9" s="26" t="s">
        <v>985</v>
      </c>
      <c r="AG9" s="26" t="s">
        <v>986</v>
      </c>
      <c r="AH9" s="25" t="s">
        <v>987</v>
      </c>
      <c r="AI9" s="7" t="s">
        <v>988</v>
      </c>
      <c r="AJ9" s="6">
        <v>0</v>
      </c>
      <c r="AK9" s="7" t="s">
        <v>989</v>
      </c>
      <c r="AL9" s="7" t="s">
        <v>990</v>
      </c>
      <c r="AM9" s="7"/>
      <c r="AN9" s="6">
        <v>1</v>
      </c>
      <c r="AO9" s="6">
        <v>0</v>
      </c>
      <c r="AP9" s="6">
        <v>1</v>
      </c>
      <c r="AQ9" s="6">
        <v>1</v>
      </c>
      <c r="AR9" s="7"/>
      <c r="AS9" s="6">
        <v>0</v>
      </c>
      <c r="AT9" s="28" t="str">
        <f t="shared" si="0"/>
        <v>{s_taskTalk,{60046,60005}}</v>
      </c>
    </row>
    <row r="10" s="3" customFormat="1" ht="105" customHeight="1" spans="1:46">
      <c r="A10" s="4">
        <v>3041</v>
      </c>
      <c r="B10" s="7">
        <v>1012</v>
      </c>
      <c r="C10" s="7" t="s">
        <v>991</v>
      </c>
      <c r="D10" s="7">
        <v>1</v>
      </c>
      <c r="E10" s="7">
        <v>1</v>
      </c>
      <c r="F10" s="6">
        <v>1</v>
      </c>
      <c r="G10" s="7">
        <v>200</v>
      </c>
      <c r="H10" s="6">
        <v>3031</v>
      </c>
      <c r="I10" s="6">
        <v>0</v>
      </c>
      <c r="J10" s="7">
        <v>60005</v>
      </c>
      <c r="K10" s="7" t="s">
        <v>982</v>
      </c>
      <c r="L10" s="14">
        <v>60029</v>
      </c>
      <c r="M10" s="7" t="s">
        <v>992</v>
      </c>
      <c r="N10" s="7"/>
      <c r="O10" s="15"/>
      <c r="P10" s="15"/>
      <c r="Q10" s="15">
        <v>10104</v>
      </c>
      <c r="R10" s="18"/>
      <c r="S10" s="7">
        <v>3</v>
      </c>
      <c r="T10" s="7">
        <v>0</v>
      </c>
      <c r="U10" s="19">
        <v>5</v>
      </c>
      <c r="V10" s="7"/>
      <c r="W10" s="7"/>
      <c r="X10" s="20">
        <v>1700</v>
      </c>
      <c r="Y10" s="7"/>
      <c r="Z10" s="23"/>
      <c r="AA10" s="24">
        <v>50</v>
      </c>
      <c r="AB10" s="15" t="s">
        <v>993</v>
      </c>
      <c r="AC10" s="7"/>
      <c r="AD10" s="26" t="s">
        <v>994</v>
      </c>
      <c r="AE10" s="26" t="s">
        <v>995</v>
      </c>
      <c r="AF10" s="26" t="s">
        <v>996</v>
      </c>
      <c r="AG10" s="26"/>
      <c r="AH10" s="25" t="s">
        <v>997</v>
      </c>
      <c r="AI10" s="7"/>
      <c r="AJ10" s="6">
        <v>0</v>
      </c>
      <c r="AK10" s="7" t="s">
        <v>998</v>
      </c>
      <c r="AL10" s="7" t="s">
        <v>999</v>
      </c>
      <c r="AM10" s="7"/>
      <c r="AN10" s="6">
        <v>1</v>
      </c>
      <c r="AO10" s="6">
        <v>0</v>
      </c>
      <c r="AP10" s="6">
        <v>1</v>
      </c>
      <c r="AQ10" s="6">
        <v>1</v>
      </c>
      <c r="AR10" s="7"/>
      <c r="AS10" s="6">
        <v>0</v>
      </c>
      <c r="AT10" s="28" t="str">
        <f>"{s_taskKillNpc, {"&amp;J10&amp;","&amp;L10&amp;","&amp;Q10&amp;","&amp;S10&amp;"}}"</f>
        <v>{s_taskKillNpc, {60005,60029,10104,3}}</v>
      </c>
    </row>
    <row r="11" s="3" customFormat="1" ht="165" customHeight="1" spans="1:46">
      <c r="A11" s="4">
        <v>3801</v>
      </c>
      <c r="B11" s="6">
        <v>1291</v>
      </c>
      <c r="C11" s="6" t="s">
        <v>936</v>
      </c>
      <c r="D11" s="6">
        <v>1</v>
      </c>
      <c r="E11" s="6">
        <v>2</v>
      </c>
      <c r="F11" s="6">
        <v>1</v>
      </c>
      <c r="G11" s="6">
        <v>200</v>
      </c>
      <c r="H11" s="8">
        <v>3041</v>
      </c>
      <c r="I11" s="6">
        <v>0</v>
      </c>
      <c r="J11" s="14">
        <v>60029</v>
      </c>
      <c r="K11" s="7" t="s">
        <v>992</v>
      </c>
      <c r="L11" s="14">
        <v>60017</v>
      </c>
      <c r="M11" s="7" t="s">
        <v>1000</v>
      </c>
      <c r="N11" s="7"/>
      <c r="O11" s="15"/>
      <c r="P11" s="15"/>
      <c r="Q11" s="15"/>
      <c r="R11" s="18"/>
      <c r="S11" s="6">
        <v>1</v>
      </c>
      <c r="T11" s="6">
        <v>1</v>
      </c>
      <c r="U11" s="19">
        <v>15</v>
      </c>
      <c r="V11" s="6"/>
      <c r="W11" s="6"/>
      <c r="X11" s="20">
        <v>6000</v>
      </c>
      <c r="Y11" s="6">
        <v>1</v>
      </c>
      <c r="Z11" s="24"/>
      <c r="AA11" s="24">
        <v>50</v>
      </c>
      <c r="AB11" s="19" t="s">
        <v>938</v>
      </c>
      <c r="AC11" s="6" t="s">
        <v>939</v>
      </c>
      <c r="AD11" s="25" t="s">
        <v>1001</v>
      </c>
      <c r="AE11" s="25" t="s">
        <v>1002</v>
      </c>
      <c r="AF11" s="25" t="s">
        <v>942</v>
      </c>
      <c r="AG11" s="25" t="s">
        <v>943</v>
      </c>
      <c r="AH11" s="25" t="s">
        <v>943</v>
      </c>
      <c r="AI11" s="6"/>
      <c r="AJ11" s="6">
        <v>0</v>
      </c>
      <c r="AK11" s="7" t="s">
        <v>1003</v>
      </c>
      <c r="AL11" s="7" t="s">
        <v>1004</v>
      </c>
      <c r="AM11" s="6"/>
      <c r="AN11" s="6">
        <v>1</v>
      </c>
      <c r="AO11" s="6">
        <v>0</v>
      </c>
      <c r="AP11" s="6">
        <v>1</v>
      </c>
      <c r="AQ11" s="6">
        <v>1</v>
      </c>
      <c r="AR11" s="6">
        <v>0</v>
      </c>
      <c r="AS11" s="29">
        <v>0</v>
      </c>
      <c r="AT11" s="28" t="str">
        <f>"{s_taskTalk,{"&amp;J11&amp;","&amp;L11&amp;"}}"</f>
        <v>{s_taskTalk,{60029,60017}}</v>
      </c>
    </row>
    <row r="12" s="3" customFormat="1" ht="18.75" spans="1:46">
      <c r="A12" s="4"/>
      <c r="B12" s="6"/>
      <c r="C12" s="6"/>
      <c r="D12" s="6"/>
      <c r="E12" s="6"/>
      <c r="F12" s="6"/>
      <c r="G12" s="6"/>
      <c r="H12" s="6"/>
      <c r="I12" s="6"/>
      <c r="J12" s="14"/>
      <c r="K12" s="7"/>
      <c r="L12" s="7"/>
      <c r="M12" s="7"/>
      <c r="N12" s="7"/>
      <c r="O12" s="15"/>
      <c r="P12" s="15"/>
      <c r="Q12" s="15"/>
      <c r="R12" s="18"/>
      <c r="S12" s="6"/>
      <c r="T12" s="6"/>
      <c r="U12" s="19"/>
      <c r="V12" s="6"/>
      <c r="W12" s="6"/>
      <c r="X12" s="20"/>
      <c r="Y12" s="6"/>
      <c r="Z12" s="23"/>
      <c r="AA12" s="27"/>
      <c r="AB12" s="19"/>
      <c r="AC12" s="6"/>
      <c r="AD12" s="25"/>
      <c r="AE12" s="25"/>
      <c r="AF12" s="25"/>
      <c r="AG12" s="25"/>
      <c r="AH12" s="6"/>
      <c r="AI12" s="6"/>
      <c r="AJ12" s="6"/>
      <c r="AK12" s="7"/>
      <c r="AL12" s="7"/>
      <c r="AM12" s="6"/>
      <c r="AN12" s="6"/>
      <c r="AO12" s="6"/>
      <c r="AP12" s="6"/>
      <c r="AQ12" s="6"/>
      <c r="AR12" s="6"/>
      <c r="AS12" s="6"/>
      <c r="AT12" s="28"/>
    </row>
    <row r="13" s="3" customFormat="1" ht="147" customHeight="1" spans="1:46">
      <c r="A13" s="9"/>
      <c r="B13" s="6"/>
      <c r="C13" s="6"/>
      <c r="D13" s="6"/>
      <c r="E13" s="6"/>
      <c r="F13" s="6"/>
      <c r="G13" s="6"/>
      <c r="H13" s="10"/>
      <c r="I13" s="6"/>
      <c r="J13" s="14"/>
      <c r="K13" s="7"/>
      <c r="L13" s="7"/>
      <c r="M13" s="7"/>
      <c r="N13" s="7"/>
      <c r="O13" s="15"/>
      <c r="P13" s="15"/>
      <c r="Q13" s="15"/>
      <c r="R13" s="18"/>
      <c r="S13" s="6"/>
      <c r="T13" s="6"/>
      <c r="U13" s="19"/>
      <c r="V13" s="6"/>
      <c r="W13" s="6"/>
      <c r="X13" s="20"/>
      <c r="Y13" s="6"/>
      <c r="Z13" s="23"/>
      <c r="AA13" s="24"/>
      <c r="AB13" s="19"/>
      <c r="AC13" s="6"/>
      <c r="AD13" s="25"/>
      <c r="AE13" s="25"/>
      <c r="AF13" s="25"/>
      <c r="AG13" s="25"/>
      <c r="AH13" s="25"/>
      <c r="AI13" s="6"/>
      <c r="AJ13" s="6"/>
      <c r="AK13" s="7"/>
      <c r="AL13" s="7"/>
      <c r="AM13" s="6"/>
      <c r="AN13" s="6"/>
      <c r="AO13" s="6"/>
      <c r="AP13" s="6"/>
      <c r="AQ13" s="6"/>
      <c r="AR13" s="6"/>
      <c r="AS13" s="29"/>
      <c r="AT13" s="28"/>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3.5"/>
  <sheetData>
    <row r="1" spans="1:1">
      <c r="A1" s="1"/>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8</vt:i4>
      </vt:variant>
    </vt:vector>
  </HeadingPairs>
  <TitlesOfParts>
    <vt:vector size="8" baseType="lpstr">
      <vt:lpstr>Sheet1</vt:lpstr>
      <vt:lpstr>字段说明</vt:lpstr>
      <vt:lpstr>文本格式说明</vt:lpstr>
      <vt:lpstr>经验</vt:lpstr>
      <vt:lpstr>Sheet2</vt:lpstr>
      <vt:lpstr>测试功能</vt:lpstr>
      <vt:lpstr>0917测试第二版</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2006-09-13T11:21:00Z</dcterms:created>
  <dcterms:modified xsi:type="dcterms:W3CDTF">2016-03-07T09:03:54Z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mExcelLinker_FA1F8535_D8F5_4B54_A31A_A496410B3102">
    <vt:lpwstr>627</vt:lpwstr>
  </property>
  <property fmtid="{D5CDD505-2E9C-101B-9397-08002B2CF9AE}" pid="3" name="KSOProductBuildVer">
    <vt:lpwstr>2052-10.1.0.5511</vt:lpwstr>
  </property>
</Properties>
</file>